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_Dictionary" sheetId="2" state="visible" r:id="rId4"/>
    <sheet name="MV_Policies" sheetId="3" state="visible" r:id="rId5"/>
    <sheet name="MV_Claims" sheetId="4" state="visible" r:id="rId6"/>
    <sheet name="NCD_Rules" sheetId="5" state="visible" r:id="rId7"/>
    <sheet name="MV_Risk_Factors" sheetId="6" state="visible" r:id="rId8"/>
    <sheet name="EV_Int_Benchmarks" sheetId="7" state="visible" r:id="rId9"/>
    <sheet name="EV_Battery_Data" sheetId="8" state="visible" r:id="rId10"/>
    <sheet name="EV_Models_Malaysia" sheetId="9" state="visible" r:id="rId11"/>
    <sheet name="EV_Proxy_Dataset" sheetId="10" state="visible" r:id="rId12"/>
    <sheet name="Transfer_Learning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<sst xmlns="http://schemas.openxmlformats.org/spreadsheetml/2006/main" count="3295" uniqueCount="1136">
  <si>
    <t xml:space="preserve">BITs Internship Programme — Sample Data Workbook  |  Both Groups</t>
  </si>
  <si>
    <t xml:space="preserve">This workbook contains synthetic sample data for learning and analysis. All data is generated for educational purposes only — not real policyholder data.</t>
  </si>
  <si>
    <t xml:space="preserve">HOW TO USE THIS WORKBOOK:  Navigate to the sheet for your group. Each sheet has a coloured header row explaining what the data means. Yellow cells are key numbers to pay attention to. Use the Data Dictionary sheet to understand every column.</t>
  </si>
  <si>
    <t xml:space="preserve">SHEET</t>
  </si>
  <si>
    <t xml:space="preserve">CONTENTS</t>
  </si>
  <si>
    <t xml:space="preserve">FOR GROUP</t>
  </si>
  <si>
    <t xml:space="preserve">ROWS</t>
  </si>
  <si>
    <t xml:space="preserve">README</t>
  </si>
  <si>
    <t xml:space="preserve">This navigation guide</t>
  </si>
  <si>
    <t xml:space="preserve">Both</t>
  </si>
  <si>
    <t xml:space="preserve">—</t>
  </si>
  <si>
    <t xml:space="preserve">Data_Dictionary</t>
  </si>
  <si>
    <t xml:space="preserve">Field definitions for every column in every sheet</t>
  </si>
  <si>
    <t xml:space="preserve">MV_Policies</t>
  </si>
  <si>
    <t xml:space="preserve">200 synthetic motor vehicle insurance policies (Malaysia)</t>
  </si>
  <si>
    <t xml:space="preserve">Group A</t>
  </si>
  <si>
    <t xml:space="preserve">200</t>
  </si>
  <si>
    <t xml:space="preserve">MV_Claims</t>
  </si>
  <si>
    <t xml:space="preserve">Claims records linked to policies with claim_flag = 1</t>
  </si>
  <si>
    <t xml:space="preserve">52</t>
  </si>
  <si>
    <t xml:space="preserve">NCD_Rules</t>
  </si>
  <si>
    <t xml:space="preserve">No-Claim Discount scale, rules, and worked example</t>
  </si>
  <si>
    <t xml:space="preserve">MV_Risk_Factors</t>
  </si>
  <si>
    <t xml:space="preserve">P×S underwriting risk factor table with loadings</t>
  </si>
  <si>
    <t xml:space="preserve">33</t>
  </si>
  <si>
    <t xml:space="preserve">EV_Int_Benchmarks</t>
  </si>
  <si>
    <t xml:space="preserve">International EV claim frequency &amp; severity vs conventional</t>
  </si>
  <si>
    <t xml:space="preserve">Group B</t>
  </si>
  <si>
    <t xml:space="preserve">45</t>
  </si>
  <si>
    <t xml:space="preserve">EV_Battery_Data</t>
  </si>
  <si>
    <t xml:space="preserve">Battery chemistry risk properties (LFP / NMC / NCA)</t>
  </si>
  <si>
    <t xml:space="preserve">20</t>
  </si>
  <si>
    <t xml:space="preserve">EV_Models_Malaysia</t>
  </si>
  <si>
    <t xml:space="preserve">EV models registered in Malaysia: specs, battery cost, market share</t>
  </si>
  <si>
    <t xml:space="preserve">9</t>
  </si>
  <si>
    <t xml:space="preserve">EV_Proxy_Dataset</t>
  </si>
  <si>
    <t xml:space="preserve">200 simulated EV policies (proxy for zero-data Bayesian prior)</t>
  </si>
  <si>
    <t xml:space="preserve">Transfer_Learning</t>
  </si>
  <si>
    <t xml:space="preserve">6-factor multiplier chain: int'l benchmark → Malaysia estimate</t>
  </si>
  <si>
    <t xml:space="preserve">6</t>
  </si>
  <si>
    <t xml:space="preserve">KEY ASSUMPTIONS EMBEDDED IN THE DATA</t>
  </si>
  <si>
    <t xml:space="preserve">• Malaysia Motor Insurance GWP: RM 9.1 billion (2023) — BNM Annual Report 2023</t>
  </si>
  <si>
    <t xml:space="preserve">• NCD scale: 0% / 25% / 30% / 38.33% / 45% / 55% per Pindaan Jadual 1, Akta Insurans 1996</t>
  </si>
  <si>
    <t xml:space="preserve">• Detariffication: Phase 1 Motorcycles (Oct 2016); Phase 2 Private Cars (Jul 2017) — BNM press release</t>
  </si>
  <si>
    <t xml:space="preserve">• P×S Risk Score: 33 factors across 6 categories; score 1–25; CRITICAL ≥ 17 → 30–50% loading</t>
  </si>
  <si>
    <t xml:space="preserve">• EV registrations Malaysia end-2023: ~10,112 units (JPJ data cited by MITI 2024)</t>
  </si>
  <si>
    <t xml:space="preserve">• USD/MYR exchange rate: 4.70 (BNM Q1–Q2 2026 average)</t>
  </si>
  <si>
    <t xml:space="preserve">• EV import duty: 0% (MITI P.U.(A) 12/2024, effective Jan 2024)</t>
  </si>
  <si>
    <t xml:space="preserve">• International EV claim frequency premium: US +17%, UK +25–30%, Germany +20–28%, Norway ~flat/km, China +10–15%</t>
  </si>
  <si>
    <t xml:space="preserve">• Battery thermal onset: LFP 270°C (safest), NMC 150–210°C (medium), NCA 130–150°C (highest risk)</t>
  </si>
  <si>
    <t xml:space="preserve">Data Dictionary — Field Definitions for All Sheets</t>
  </si>
  <si>
    <t xml:space="preserve">Every column in every data sheet is defined below. Use this to understand what each variable means and how to use it in your analysis.</t>
  </si>
  <si>
    <t xml:space="preserve">Sheet</t>
  </si>
  <si>
    <t xml:space="preserve">Field Name</t>
  </si>
  <si>
    <t xml:space="preserve">Data Type</t>
  </si>
  <si>
    <t xml:space="preserve">Definition &amp; Notes</t>
  </si>
  <si>
    <t xml:space="preserve">Example / Range</t>
  </si>
  <si>
    <t xml:space="preserve">Policy_ID</t>
  </si>
  <si>
    <t xml:space="preserve">Text</t>
  </si>
  <si>
    <t xml:space="preserve">Unique policy identifier. Format: MV-XXXX</t>
  </si>
  <si>
    <t xml:space="preserve">MV-0001</t>
  </si>
  <si>
    <t xml:space="preserve">Age</t>
  </si>
  <si>
    <t xml:space="preserve">Integer</t>
  </si>
  <si>
    <t xml:space="preserve">Driver age in years at policy inception</t>
  </si>
  <si>
    <t xml:space="preserve">22 to 72</t>
  </si>
  <si>
    <t xml:space="preserve">Gender</t>
  </si>
  <si>
    <t xml:space="preserve">M = Male, F = Female</t>
  </si>
  <si>
    <t xml:space="preserve">M / F</t>
  </si>
  <si>
    <t xml:space="preserve">Occupation</t>
  </si>
  <si>
    <t xml:space="preserve">Insured's occupation class — affects risk loading</t>
  </si>
  <si>
    <t xml:space="preserve">Professional, Clerical, Manual Worker...</t>
  </si>
  <si>
    <t xml:space="preserve">State</t>
  </si>
  <si>
    <t xml:space="preserve">Malaysian state where vehicle is registered</t>
  </si>
  <si>
    <t xml:space="preserve">Kuala Lumpur, Selangor...</t>
  </si>
  <si>
    <t xml:space="preserve">Vehicle_Make</t>
  </si>
  <si>
    <t xml:space="preserve">Vehicle manufacturer</t>
  </si>
  <si>
    <t xml:space="preserve">Perodua, Proton, Toyota...</t>
  </si>
  <si>
    <t xml:space="preserve">Vehicle_Model</t>
  </si>
  <si>
    <t xml:space="preserve">Specific model name</t>
  </si>
  <si>
    <t xml:space="preserve">Myvi, Saga, Vios...</t>
  </si>
  <si>
    <t xml:space="preserve">Engine_CC</t>
  </si>
  <si>
    <t xml:space="preserve">Engine displacement in cubic centimetres. Affects tariff premium band</t>
  </si>
  <si>
    <t xml:space="preserve">850 to 2494</t>
  </si>
  <si>
    <t xml:space="preserve">Vehicle_Year</t>
  </si>
  <si>
    <t xml:space="preserve">Year of vehicle manufacture</t>
  </si>
  <si>
    <t xml:space="preserve">2015 to 2024</t>
  </si>
  <si>
    <t xml:space="preserve">Vehicle_Age_Yrs</t>
  </si>
  <si>
    <t xml:space="preserve">Age of vehicle = current year minus manufacture year</t>
  </si>
  <si>
    <t xml:space="preserve">0 to 9</t>
  </si>
  <si>
    <t xml:space="preserve">Sum_Insured_MYR</t>
  </si>
  <si>
    <t xml:space="preserve">Currency</t>
  </si>
  <si>
    <t xml:space="preserve">Market value of vehicle insured (MYR). Used to calculate premium</t>
  </si>
  <si>
    <t xml:space="preserve">12,000 to 240,000</t>
  </si>
  <si>
    <t xml:space="preserve">Vehicle_Use</t>
  </si>
  <si>
    <t xml:space="preserve">PRIVATE = personal use; COMMERCIAL = business use (higher premium)</t>
  </si>
  <si>
    <t xml:space="preserve">PRIVATE / COMMERCIAL</t>
  </si>
  <si>
    <t xml:space="preserve">NCD_Pct</t>
  </si>
  <si>
    <t xml:space="preserve">Decimal</t>
  </si>
  <si>
    <t xml:space="preserve">No-Claim Discount entitlement: 0/25/30/38.33/45/55% — see NCD_Rules sheet</t>
  </si>
  <si>
    <t xml:space="preserve">0 to 55%</t>
  </si>
  <si>
    <t xml:space="preserve">Risk_Score</t>
  </si>
  <si>
    <t xml:space="preserve">P×S (Probability × Severity) composite score: 1 (safest) to 25 (riskiest). See MV_Risk_Factors sheet</t>
  </si>
  <si>
    <t xml:space="preserve">4 to 23</t>
  </si>
  <si>
    <t xml:space="preserve">Risk_Category</t>
  </si>
  <si>
    <t xml:space="preserve">LOW (&lt;9), MEDIUM (9–16), HIGH (17–20), CRITICAL (&gt;20)</t>
  </si>
  <si>
    <t xml:space="preserve">LOW, MEDIUM, HIGH, CRITICAL</t>
  </si>
  <si>
    <t xml:space="preserve">Base_Premium_MYR</t>
  </si>
  <si>
    <t xml:space="preserve">Tariff premium before NCD and loadings</t>
  </si>
  <si>
    <t xml:space="preserve">800 to 8,500</t>
  </si>
  <si>
    <t xml:space="preserve">NCD_Deduction_MYR</t>
  </si>
  <si>
    <t xml:space="preserve">Base_Premium multiplied by NCD_Pct. Discount for claim-free years</t>
  </si>
  <si>
    <t xml:space="preserve">0 to 4,675</t>
  </si>
  <si>
    <t xml:space="preserve">Loading_Pct</t>
  </si>
  <si>
    <t xml:space="preserve">Additional loading % for high-risk profiles (P×S CRITICAL)</t>
  </si>
  <si>
    <t xml:space="preserve">0%, 30%, 40%, 50%</t>
  </si>
  <si>
    <t xml:space="preserve">Loading_MYR</t>
  </si>
  <si>
    <t xml:space="preserve">Base_Premium multiplied by Loading_Pct</t>
  </si>
  <si>
    <t xml:space="preserve">0 to 4,250</t>
  </si>
  <si>
    <t xml:space="preserve">Final_Premium_MYR</t>
  </si>
  <si>
    <t xml:space="preserve">Base_Premium minus NCD_Deduction plus Loading. What insured actually pays</t>
  </si>
  <si>
    <t xml:space="preserve">510 to 9,720</t>
  </si>
  <si>
    <t xml:space="preserve">Claim_Flag</t>
  </si>
  <si>
    <t xml:space="preserve">Binary</t>
  </si>
  <si>
    <t xml:space="preserve">1 = had at least one claim during policy year; 0 = claim-free</t>
  </si>
  <si>
    <t xml:space="preserve">0 / 1</t>
  </si>
  <si>
    <t xml:space="preserve">Policy_Year</t>
  </si>
  <si>
    <t xml:space="preserve">Year of policy issuance</t>
  </si>
  <si>
    <t xml:space="preserve">2022, 2023, 2024</t>
  </si>
  <si>
    <t xml:space="preserve">Claim_ID</t>
  </si>
  <si>
    <t xml:space="preserve">Unique claim identifier. Format: CLM-XXXX</t>
  </si>
  <si>
    <t xml:space="preserve">CLM-0001</t>
  </si>
  <si>
    <t xml:space="preserve">Links to MV_Policies sheet. Each Policy_ID may have 1+ claims</t>
  </si>
  <si>
    <t xml:space="preserve">MV-0042</t>
  </si>
  <si>
    <t xml:space="preserve">Claim_Type</t>
  </si>
  <si>
    <t xml:space="preserve">Category of loss: Own Damage, Third Party Property, Windscreen, Theft, PA</t>
  </si>
  <si>
    <t xml:space="preserve">Own Damage</t>
  </si>
  <si>
    <t xml:space="preserve">Fault</t>
  </si>
  <si>
    <t xml:space="preserve">AT FAULT = insured caused accident; NOT AT FAULT = third party caused it</t>
  </si>
  <si>
    <t xml:space="preserve">AT FAULT</t>
  </si>
  <si>
    <t xml:space="preserve">Claim_Amount_MYR</t>
  </si>
  <si>
    <t xml:space="preserve">Gross claim amount submitted by insured or repairer</t>
  </si>
  <si>
    <t xml:space="preserve">500 to 85,000</t>
  </si>
  <si>
    <t xml:space="preserve">Excess_MYR</t>
  </si>
  <si>
    <t xml:space="preserve">Compulsory and voluntary excess paid by insured. Deducted from payout</t>
  </si>
  <si>
    <t xml:space="preserve">300 to 1,500</t>
  </si>
  <si>
    <t xml:space="preserve">Net_Payout_MYR</t>
  </si>
  <si>
    <t xml:space="preserve">Claim_Amount minus Excess. Actual payout by insurer</t>
  </si>
  <si>
    <t xml:space="preserve">200 to 83,700</t>
  </si>
  <si>
    <t xml:space="preserve">Settlement_Status</t>
  </si>
  <si>
    <t xml:space="preserve">SETTLED = paid; PENDING = under investigation; DECLINED = rejected</t>
  </si>
  <si>
    <t xml:space="preserve">SETTLED</t>
  </si>
  <si>
    <t xml:space="preserve">Days_to_Settle</t>
  </si>
  <si>
    <t xml:space="preserve">Working days from claim report to settlement</t>
  </si>
  <si>
    <t xml:space="preserve">5 to 180</t>
  </si>
  <si>
    <t xml:space="preserve">Claim_Year</t>
  </si>
  <si>
    <t xml:space="preserve">Year claim was made</t>
  </si>
  <si>
    <t xml:space="preserve">2022–2024</t>
  </si>
  <si>
    <t xml:space="preserve">Country</t>
  </si>
  <si>
    <t xml:space="preserve">Source country for the claims data</t>
  </si>
  <si>
    <t xml:space="preserve">USA, UK, Germany, Norway, China</t>
  </si>
  <si>
    <t xml:space="preserve">Year</t>
  </si>
  <si>
    <t xml:space="preserve">Data collection year</t>
  </si>
  <si>
    <t xml:space="preserve">2019 to 2023</t>
  </si>
  <si>
    <t xml:space="preserve">EV_Claim_Freq_Pct</t>
  </si>
  <si>
    <t xml:space="preserve">EV insurance claim frequency in that country (claims per 100 policies)</t>
  </si>
  <si>
    <t xml:space="preserve">7.2 to 14.1</t>
  </si>
  <si>
    <t xml:space="preserve">Conv_Claim_Freq_Pct</t>
  </si>
  <si>
    <t xml:space="preserve">Conventional ICE vehicle claim frequency in same country &amp; year</t>
  </si>
  <si>
    <t xml:space="preserve">6.1 to 8.5</t>
  </si>
  <si>
    <t xml:space="preserve">Freq_Ratio</t>
  </si>
  <si>
    <t xml:space="preserve">EV/ICE frequency ratio. &gt; 1 means EVs claim more often</t>
  </si>
  <si>
    <t xml:space="preserve">1.04 to 1.38</t>
  </si>
  <si>
    <t xml:space="preserve">EV_Severity_MYR</t>
  </si>
  <si>
    <t xml:space="preserve">Average EV claim cost converted to MYR at 4.70 rate</t>
  </si>
  <si>
    <t xml:space="preserve">8,500 to 65,000</t>
  </si>
  <si>
    <t xml:space="preserve">Conv_Severity_MYR</t>
  </si>
  <si>
    <t xml:space="preserve">Average ICE claim cost converted to MYR</t>
  </si>
  <si>
    <t xml:space="preserve">5,200 to 28,000</t>
  </si>
  <si>
    <t xml:space="preserve">Severity_Ratio</t>
  </si>
  <si>
    <t xml:space="preserve">EV/ICE severity ratio. Higher = EV repairs cost more</t>
  </si>
  <si>
    <t xml:space="preserve">1.12 to 1.62</t>
  </si>
  <si>
    <t xml:space="preserve">Sample_Size</t>
  </si>
  <si>
    <t xml:space="preserve">Number of EV policies in the study</t>
  </si>
  <si>
    <t xml:space="preserve">350 to 48,000</t>
  </si>
  <si>
    <t xml:space="preserve">Source</t>
  </si>
  <si>
    <t xml:space="preserve">Study or report this data is drawn from</t>
  </si>
  <si>
    <t xml:space="preserve">HLDI 2023, Thatcham Research 2022...</t>
  </si>
  <si>
    <t xml:space="preserve">Chemistry</t>
  </si>
  <si>
    <t xml:space="preserve">Battery chemistry type: LFP, NMC, NCA</t>
  </si>
  <si>
    <t xml:space="preserve">LFP</t>
  </si>
  <si>
    <t xml:space="preserve">Thermal_Onset_C</t>
  </si>
  <si>
    <t xml:space="preserve">Temperature at which thermal runaway begins (°C). Higher = safer</t>
  </si>
  <si>
    <t xml:space="preserve">130 to 270</t>
  </si>
  <si>
    <t xml:space="preserve">Energy_Density_Wh_kg</t>
  </si>
  <si>
    <t xml:space="preserve">Energy per kg of battery. Higher = more range, more risk</t>
  </si>
  <si>
    <t xml:space="preserve">110 to 300</t>
  </si>
  <si>
    <t xml:space="preserve">Malaysia_Fleet_Pct</t>
  </si>
  <si>
    <t xml:space="preserve">Share of registered Malaysian EV fleet using this chemistry (2024 estimate)</t>
  </si>
  <si>
    <t xml:space="preserve">6 to 45%</t>
  </si>
  <si>
    <t xml:space="preserve">Underwriting_Risk</t>
  </si>
  <si>
    <t xml:space="preserve">Underwriting risk rating for fire/thermal runaway</t>
  </si>
  <si>
    <t xml:space="preserve">LOW, MEDIUM, HIGH</t>
  </si>
  <si>
    <t xml:space="preserve">Example_Models</t>
  </si>
  <si>
    <t xml:space="preserve">Malaysian-registered EVs using this chemistry</t>
  </si>
  <si>
    <t xml:space="preserve">BYD Atto 3, Tesla Model 3...</t>
  </si>
  <si>
    <t xml:space="preserve">EV_Make</t>
  </si>
  <si>
    <t xml:space="preserve">BYD, Tesla, Hyundai...</t>
  </si>
  <si>
    <t xml:space="preserve">EV_Model</t>
  </si>
  <si>
    <t xml:space="preserve">Atto 3, Model 3 LR...</t>
  </si>
  <si>
    <t xml:space="preserve">Battery_Chemistry</t>
  </si>
  <si>
    <t xml:space="preserve">Chemistry type — links to EV_Battery_Data</t>
  </si>
  <si>
    <t xml:space="preserve">LFP, NMC, NCA</t>
  </si>
  <si>
    <t xml:space="preserve">Battery_kWh</t>
  </si>
  <si>
    <t xml:space="preserve">Usable battery capacity in kilowatt-hours</t>
  </si>
  <si>
    <t xml:space="preserve">44.9 to 107.8</t>
  </si>
  <si>
    <t xml:space="preserve">WLTP_Range_km</t>
  </si>
  <si>
    <t xml:space="preserve">Manufacturer-stated range (WLTP standard)</t>
  </si>
  <si>
    <t xml:space="preserve">340 to 770</t>
  </si>
  <si>
    <t xml:space="preserve">Battery_Repl_Cost_MYR</t>
  </si>
  <si>
    <t xml:space="preserve">Estimated battery replacement cost in MYR (at 4.70 rate)</t>
  </si>
  <si>
    <t xml:space="preserve">RM 38,000 to RM 282,000</t>
  </si>
  <si>
    <t xml:space="preserve">Ex_Showroom_MYR</t>
  </si>
  <si>
    <t xml:space="preserve">Malaysian on-road price (MYR) — used for sum insured estimate</t>
  </si>
  <si>
    <t xml:space="preserve">RM 32,000 to RM 283,000</t>
  </si>
  <si>
    <t xml:space="preserve">Est_Units_Malaysia</t>
  </si>
  <si>
    <t xml:space="preserve">Estimated units registered in Malaysia by end-2024</t>
  </si>
  <si>
    <t xml:space="preserve">50 to 3,800</t>
  </si>
  <si>
    <t xml:space="preserve">EV_Policy_ID</t>
  </si>
  <si>
    <t xml:space="preserve">Synthetic policy ID for the simulated dataset</t>
  </si>
  <si>
    <t xml:space="preserve">EV-0001</t>
  </si>
  <si>
    <t xml:space="preserve">BYD, Tesla...</t>
  </si>
  <si>
    <t xml:space="preserve">LFP / NMC / NCA — affects risk loading</t>
  </si>
  <si>
    <t xml:space="preserve">Driver_Age</t>
  </si>
  <si>
    <t xml:space="preserve">Simulated driver age</t>
  </si>
  <si>
    <t xml:space="preserve">21 to 68</t>
  </si>
  <si>
    <t xml:space="preserve">PS_Risk_Score</t>
  </si>
  <si>
    <t xml:space="preserve">P×S composite risk score adapted for EV factors</t>
  </si>
  <si>
    <t xml:space="preserve">5 to 24</t>
  </si>
  <si>
    <t xml:space="preserve">Int_Base_Freq_Pct</t>
  </si>
  <si>
    <t xml:space="preserve">International benchmark claim frequency for this profile</t>
  </si>
  <si>
    <t xml:space="preserve">7.0 to 13.5%</t>
  </si>
  <si>
    <t xml:space="preserve">TL_Adj_Factor</t>
  </si>
  <si>
    <t xml:space="preserve">Transfer learning adjustment multiplier (product of 6 factors)</t>
  </si>
  <si>
    <t xml:space="preserve">0.90 to 1.12</t>
  </si>
  <si>
    <t xml:space="preserve">Malaysia_Adj_Freq_Pct</t>
  </si>
  <si>
    <t xml:space="preserve">Adjusted frequency estimate for Malaysia = Int_Base × TL_Adj</t>
  </si>
  <si>
    <t xml:space="preserve">6.5 to 14.2%</t>
  </si>
  <si>
    <t xml:space="preserve">Simulated_Claim</t>
  </si>
  <si>
    <t xml:space="preserve">Simulated outcome drawn from Binomial(1, Malaysia_Adj_Freq). 1 = claim</t>
  </si>
  <si>
    <t xml:space="preserve">Claim_Severity_MYR</t>
  </si>
  <si>
    <t xml:space="preserve">Simulated claim amount if Simulated_Claim = 1 (log-normal draw); else 0</t>
  </si>
  <si>
    <t xml:space="preserve">0 to 92,000</t>
  </si>
  <si>
    <t xml:space="preserve">Factor</t>
  </si>
  <si>
    <t xml:space="preserve">Name of the transfer learning adjustment factor</t>
  </si>
  <si>
    <t xml:space="preserve">Road condition</t>
  </si>
  <si>
    <t xml:space="preserve">International_Base</t>
  </si>
  <si>
    <t xml:space="preserve">Starting value from the international benchmark dataset</t>
  </si>
  <si>
    <t xml:space="preserve">0.089 (8.9%)</t>
  </si>
  <si>
    <t xml:space="preserve">Adjustment_Multiplier</t>
  </si>
  <si>
    <t xml:space="preserve">Multiplier applied to adjust for Malaysia context. &gt; 1 = upward; &lt; 1 = downward</t>
  </si>
  <si>
    <t xml:space="preserve">0.93 to 1.08</t>
  </si>
  <si>
    <t xml:space="preserve">Direction</t>
  </si>
  <si>
    <t xml:space="preserve">Whether Malaysia is HIGHER or LOWER risk than the international baseline</t>
  </si>
  <si>
    <t xml:space="preserve">HIGHER / LOWER</t>
  </si>
  <si>
    <t xml:space="preserve">Cumulative_Value</t>
  </si>
  <si>
    <t xml:space="preserve">Running product of all multipliers applied so far</t>
  </si>
  <si>
    <t xml:space="preserve">builds to ~9.5%</t>
  </si>
  <si>
    <t xml:space="preserve">Source_Rationale</t>
  </si>
  <si>
    <t xml:space="preserve">Evidence or reasoning for this adjustment</t>
  </si>
  <si>
    <t xml:space="preserve">JPJ road fatality data 2023...</t>
  </si>
  <si>
    <t xml:space="preserve">MV_Policies — Motor Vehicle Insurance Policies  |  GROUP A  |  200 synthetic records</t>
  </si>
  <si>
    <t xml:space="preserve">Each row = one policy. These are synthetic (fictional) records modelled on Malaysian market characteristics. Claim_Flag = 1 means that policy had a claim — see MV_Claims sheet for details.</t>
  </si>
  <si>
    <t xml:space="preserve">LEARNING TASK (Group A): Analyse the relationship between Risk_Score, NCD_Pct, Engine_CC, and Final_Premium. Calculate loss ratio = total claims paid / total premiums collected. Identify which factors predict Claim_Flag = 1.</t>
  </si>
  <si>
    <t xml:space="preserve">M</t>
  </si>
  <si>
    <t xml:space="preserve">Professional</t>
  </si>
  <si>
    <t xml:space="preserve">Selangor</t>
  </si>
  <si>
    <t xml:space="preserve">Perodua</t>
  </si>
  <si>
    <t xml:space="preserve">Myvi</t>
  </si>
  <si>
    <t xml:space="preserve">COMMERCIAL</t>
  </si>
  <si>
    <t xml:space="preserve">MEDIUM</t>
  </si>
  <si>
    <t xml:space="preserve">MV-0002</t>
  </si>
  <si>
    <t xml:space="preserve">Executive</t>
  </si>
  <si>
    <t xml:space="preserve">Johor</t>
  </si>
  <si>
    <t xml:space="preserve">Proton</t>
  </si>
  <si>
    <t xml:space="preserve">Saga</t>
  </si>
  <si>
    <t xml:space="preserve">PRIVATE</t>
  </si>
  <si>
    <t xml:space="preserve">LOW</t>
  </si>
  <si>
    <t xml:space="preserve">MV-0003</t>
  </si>
  <si>
    <t xml:space="preserve">F</t>
  </si>
  <si>
    <t xml:space="preserve">Kuala Lumpur</t>
  </si>
  <si>
    <t xml:space="preserve">Nissan</t>
  </si>
  <si>
    <t xml:space="preserve">Almera</t>
  </si>
  <si>
    <t xml:space="preserve">MV-0004</t>
  </si>
  <si>
    <t xml:space="preserve">Clerical</t>
  </si>
  <si>
    <t xml:space="preserve">Negeri Sembilan</t>
  </si>
  <si>
    <t xml:space="preserve">MV-0005</t>
  </si>
  <si>
    <t xml:space="preserve">MV-0006</t>
  </si>
  <si>
    <t xml:space="preserve">MV-0007</t>
  </si>
  <si>
    <t xml:space="preserve">Toyota</t>
  </si>
  <si>
    <t xml:space="preserve">Vios</t>
  </si>
  <si>
    <t xml:space="preserve">MV-0008</t>
  </si>
  <si>
    <t xml:space="preserve">Penang</t>
  </si>
  <si>
    <t xml:space="preserve">Honda</t>
  </si>
  <si>
    <t xml:space="preserve">Civic</t>
  </si>
  <si>
    <t xml:space="preserve">MV-0009</t>
  </si>
  <si>
    <t xml:space="preserve">Student</t>
  </si>
  <si>
    <t xml:space="preserve">MV-0010</t>
  </si>
  <si>
    <t xml:space="preserve">Self-Employed</t>
  </si>
  <si>
    <t xml:space="preserve">MV-0011</t>
  </si>
  <si>
    <t xml:space="preserve">Manual Worker</t>
  </si>
  <si>
    <t xml:space="preserve">Kelantan</t>
  </si>
  <si>
    <t xml:space="preserve">MV-0012</t>
  </si>
  <si>
    <t xml:space="preserve">Sabah</t>
  </si>
  <si>
    <t xml:space="preserve">MV-0013</t>
  </si>
  <si>
    <t xml:space="preserve">Axia</t>
  </si>
  <si>
    <t xml:space="preserve">MV-0014</t>
  </si>
  <si>
    <t xml:space="preserve">MV-0015</t>
  </si>
  <si>
    <t xml:space="preserve">MV-0016</t>
  </si>
  <si>
    <t xml:space="preserve">HIGH</t>
  </si>
  <si>
    <t xml:space="preserve">MV-0017</t>
  </si>
  <si>
    <t xml:space="preserve">MV-0018</t>
  </si>
  <si>
    <t xml:space="preserve">MV-0019</t>
  </si>
  <si>
    <t xml:space="preserve">Kedah</t>
  </si>
  <si>
    <t xml:space="preserve">Camry</t>
  </si>
  <si>
    <t xml:space="preserve">MV-0020</t>
  </si>
  <si>
    <t xml:space="preserve">MV-0021</t>
  </si>
  <si>
    <t xml:space="preserve">City</t>
  </si>
  <si>
    <t xml:space="preserve">MV-0022</t>
  </si>
  <si>
    <t xml:space="preserve">MV-0023</t>
  </si>
  <si>
    <t xml:space="preserve">MV-0024</t>
  </si>
  <si>
    <t xml:space="preserve">Retiree</t>
  </si>
  <si>
    <t xml:space="preserve">MV-0025</t>
  </si>
  <si>
    <t xml:space="preserve">MV-0026</t>
  </si>
  <si>
    <t xml:space="preserve">MV-0027</t>
  </si>
  <si>
    <t xml:space="preserve">MV-0028</t>
  </si>
  <si>
    <t xml:space="preserve">MV-0029</t>
  </si>
  <si>
    <t xml:space="preserve">Sarawak</t>
  </si>
  <si>
    <t xml:space="preserve">MV-0030</t>
  </si>
  <si>
    <t xml:space="preserve">Persona</t>
  </si>
  <si>
    <t xml:space="preserve">MV-0031</t>
  </si>
  <si>
    <t xml:space="preserve">MV-0032</t>
  </si>
  <si>
    <t xml:space="preserve">MV-0033</t>
  </si>
  <si>
    <t xml:space="preserve">MV-0034</t>
  </si>
  <si>
    <t xml:space="preserve">Bezza</t>
  </si>
  <si>
    <t xml:space="preserve">MV-0035</t>
  </si>
  <si>
    <t xml:space="preserve">MV-0036</t>
  </si>
  <si>
    <t xml:space="preserve">MV-0037</t>
  </si>
  <si>
    <t xml:space="preserve">MV-0038</t>
  </si>
  <si>
    <t xml:space="preserve">MV-0039</t>
  </si>
  <si>
    <t xml:space="preserve">X50</t>
  </si>
  <si>
    <t xml:space="preserve">MV-0040</t>
  </si>
  <si>
    <t xml:space="preserve">MV-0041</t>
  </si>
  <si>
    <t xml:space="preserve">MV-0043</t>
  </si>
  <si>
    <t xml:space="preserve">MV-0044</t>
  </si>
  <si>
    <t xml:space="preserve">MV-0045</t>
  </si>
  <si>
    <t xml:space="preserve">MV-0046</t>
  </si>
  <si>
    <t xml:space="preserve">MV-0047</t>
  </si>
  <si>
    <t xml:space="preserve">MV-0048</t>
  </si>
  <si>
    <t xml:space="preserve">MV-0049</t>
  </si>
  <si>
    <t xml:space="preserve">Alza</t>
  </si>
  <si>
    <t xml:space="preserve">MV-0050</t>
  </si>
  <si>
    <t xml:space="preserve">Hyundai</t>
  </si>
  <si>
    <t xml:space="preserve">Tucson</t>
  </si>
  <si>
    <t xml:space="preserve">MV-0051</t>
  </si>
  <si>
    <t xml:space="preserve">MV-0052</t>
  </si>
  <si>
    <t xml:space="preserve">MV-0053</t>
  </si>
  <si>
    <t xml:space="preserve">MV-0054</t>
  </si>
  <si>
    <t xml:space="preserve">MV-0055</t>
  </si>
  <si>
    <t xml:space="preserve">MV-0056</t>
  </si>
  <si>
    <t xml:space="preserve">MV-0057</t>
  </si>
  <si>
    <t xml:space="preserve">MV-0058</t>
  </si>
  <si>
    <t xml:space="preserve">MV-0059</t>
  </si>
  <si>
    <t xml:space="preserve">MV-0060</t>
  </si>
  <si>
    <t xml:space="preserve">MV-0061</t>
  </si>
  <si>
    <t xml:space="preserve">MV-0062</t>
  </si>
  <si>
    <t xml:space="preserve">MV-0063</t>
  </si>
  <si>
    <t xml:space="preserve">MV-0064</t>
  </si>
  <si>
    <t xml:space="preserve">MV-0065</t>
  </si>
  <si>
    <t xml:space="preserve">MV-0066</t>
  </si>
  <si>
    <t xml:space="preserve">MV-0067</t>
  </si>
  <si>
    <t xml:space="preserve">MV-0068</t>
  </si>
  <si>
    <t xml:space="preserve">MV-0069</t>
  </si>
  <si>
    <t xml:space="preserve">MV-0070</t>
  </si>
  <si>
    <t xml:space="preserve">Perak</t>
  </si>
  <si>
    <t xml:space="preserve">MV-0071</t>
  </si>
  <si>
    <t xml:space="preserve">MV-0072</t>
  </si>
  <si>
    <t xml:space="preserve">MV-0073</t>
  </si>
  <si>
    <t xml:space="preserve">MV-0074</t>
  </si>
  <si>
    <t xml:space="preserve">MV-0075</t>
  </si>
  <si>
    <t xml:space="preserve">MV-0076</t>
  </si>
  <si>
    <t xml:space="preserve">MV-0077</t>
  </si>
  <si>
    <t xml:space="preserve">MV-0078</t>
  </si>
  <si>
    <t xml:space="preserve">MV-0079</t>
  </si>
  <si>
    <t xml:space="preserve">MV-0080</t>
  </si>
  <si>
    <t xml:space="preserve">MV-0081</t>
  </si>
  <si>
    <t xml:space="preserve">MV-0082</t>
  </si>
  <si>
    <t xml:space="preserve">MV-0083</t>
  </si>
  <si>
    <t xml:space="preserve">MV-0084</t>
  </si>
  <si>
    <t xml:space="preserve">MV-0085</t>
  </si>
  <si>
    <t xml:space="preserve">MV-0086</t>
  </si>
  <si>
    <t xml:space="preserve">BMW</t>
  </si>
  <si>
    <t xml:space="preserve">320i</t>
  </si>
  <si>
    <t xml:space="preserve">MV-0087</t>
  </si>
  <si>
    <t xml:space="preserve">MV-0088</t>
  </si>
  <si>
    <t xml:space="preserve">MV-0089</t>
  </si>
  <si>
    <t xml:space="preserve">MV-0090</t>
  </si>
  <si>
    <t xml:space="preserve">MV-0091</t>
  </si>
  <si>
    <t xml:space="preserve">MV-0092</t>
  </si>
  <si>
    <t xml:space="preserve">MV-0093</t>
  </si>
  <si>
    <t xml:space="preserve">MV-0094</t>
  </si>
  <si>
    <t xml:space="preserve">MV-0095</t>
  </si>
  <si>
    <t xml:space="preserve">MV-0096</t>
  </si>
  <si>
    <t xml:space="preserve">MV-0097</t>
  </si>
  <si>
    <t xml:space="preserve">MV-0098</t>
  </si>
  <si>
    <t xml:space="preserve">MV-0099</t>
  </si>
  <si>
    <t xml:space="preserve">MV-0100</t>
  </si>
  <si>
    <t xml:space="preserve">MV-0101</t>
  </si>
  <si>
    <t xml:space="preserve">MV-0102</t>
  </si>
  <si>
    <t xml:space="preserve">MV-0103</t>
  </si>
  <si>
    <t xml:space="preserve">Mazda</t>
  </si>
  <si>
    <t xml:space="preserve">CX-5</t>
  </si>
  <si>
    <t xml:space="preserve">MV-0104</t>
  </si>
  <si>
    <t xml:space="preserve">MV-0105</t>
  </si>
  <si>
    <t xml:space="preserve">MV-0106</t>
  </si>
  <si>
    <t xml:space="preserve">MV-0107</t>
  </si>
  <si>
    <t xml:space="preserve">MV-0108</t>
  </si>
  <si>
    <t xml:space="preserve">MV-0109</t>
  </si>
  <si>
    <t xml:space="preserve">MV-0110</t>
  </si>
  <si>
    <t xml:space="preserve">MV-0111</t>
  </si>
  <si>
    <t xml:space="preserve">MV-0112</t>
  </si>
  <si>
    <t xml:space="preserve">MV-0113</t>
  </si>
  <si>
    <t xml:space="preserve">MV-0114</t>
  </si>
  <si>
    <t xml:space="preserve">MV-0115</t>
  </si>
  <si>
    <t xml:space="preserve">MV-0116</t>
  </si>
  <si>
    <t xml:space="preserve">MV-0117</t>
  </si>
  <si>
    <t xml:space="preserve">MV-0118</t>
  </si>
  <si>
    <t xml:space="preserve">MV-0119</t>
  </si>
  <si>
    <t xml:space="preserve">MV-0120</t>
  </si>
  <si>
    <t xml:space="preserve">MV-0121</t>
  </si>
  <si>
    <t xml:space="preserve">MV-0122</t>
  </si>
  <si>
    <t xml:space="preserve">MV-0123</t>
  </si>
  <si>
    <t xml:space="preserve">MV-0124</t>
  </si>
  <si>
    <t xml:space="preserve">MV-0125</t>
  </si>
  <si>
    <t xml:space="preserve">MV-0126</t>
  </si>
  <si>
    <t xml:space="preserve">MV-0127</t>
  </si>
  <si>
    <t xml:space="preserve">MV-0128</t>
  </si>
  <si>
    <t xml:space="preserve">MV-0129</t>
  </si>
  <si>
    <t xml:space="preserve">MV-0130</t>
  </si>
  <si>
    <t xml:space="preserve">MV-0131</t>
  </si>
  <si>
    <t xml:space="preserve">MV-0132</t>
  </si>
  <si>
    <t xml:space="preserve">MV-0133</t>
  </si>
  <si>
    <t xml:space="preserve">MV-0134</t>
  </si>
  <si>
    <t xml:space="preserve">MV-0135</t>
  </si>
  <si>
    <t xml:space="preserve">MV-0136</t>
  </si>
  <si>
    <t xml:space="preserve">MV-0137</t>
  </si>
  <si>
    <t xml:space="preserve">MV-0138</t>
  </si>
  <si>
    <t xml:space="preserve">MV-0139</t>
  </si>
  <si>
    <t xml:space="preserve">MV-0140</t>
  </si>
  <si>
    <t xml:space="preserve">MV-0141</t>
  </si>
  <si>
    <t xml:space="preserve">MV-0142</t>
  </si>
  <si>
    <t xml:space="preserve">MV-0143</t>
  </si>
  <si>
    <t xml:space="preserve">MV-0144</t>
  </si>
  <si>
    <t xml:space="preserve">MV-0145</t>
  </si>
  <si>
    <t xml:space="preserve">MV-0146</t>
  </si>
  <si>
    <t xml:space="preserve">MV-0147</t>
  </si>
  <si>
    <t xml:space="preserve">MV-0148</t>
  </si>
  <si>
    <t xml:space="preserve">MV-0149</t>
  </si>
  <si>
    <t xml:space="preserve">MV-0150</t>
  </si>
  <si>
    <t xml:space="preserve">MV-0151</t>
  </si>
  <si>
    <t xml:space="preserve">MV-0152</t>
  </si>
  <si>
    <t xml:space="preserve">MV-0153</t>
  </si>
  <si>
    <t xml:space="preserve">MV-0154</t>
  </si>
  <si>
    <t xml:space="preserve">MV-0155</t>
  </si>
  <si>
    <t xml:space="preserve">MV-0156</t>
  </si>
  <si>
    <t xml:space="preserve">MV-0157</t>
  </si>
  <si>
    <t xml:space="preserve">MV-0158</t>
  </si>
  <si>
    <t xml:space="preserve">MV-0159</t>
  </si>
  <si>
    <t xml:space="preserve">MV-0160</t>
  </si>
  <si>
    <t xml:space="preserve">MV-0161</t>
  </si>
  <si>
    <t xml:space="preserve">MV-0162</t>
  </si>
  <si>
    <t xml:space="preserve">MV-0163</t>
  </si>
  <si>
    <t xml:space="preserve">MV-0164</t>
  </si>
  <si>
    <t xml:space="preserve">MV-0165</t>
  </si>
  <si>
    <t xml:space="preserve">MV-0166</t>
  </si>
  <si>
    <t xml:space="preserve">MV-0167</t>
  </si>
  <si>
    <t xml:space="preserve">MV-0168</t>
  </si>
  <si>
    <t xml:space="preserve">MV-0169</t>
  </si>
  <si>
    <t xml:space="preserve">MV-0170</t>
  </si>
  <si>
    <t xml:space="preserve">MV-0171</t>
  </si>
  <si>
    <t xml:space="preserve">MV-0172</t>
  </si>
  <si>
    <t xml:space="preserve">MV-0173</t>
  </si>
  <si>
    <t xml:space="preserve">MV-0174</t>
  </si>
  <si>
    <t xml:space="preserve">MV-0175</t>
  </si>
  <si>
    <t xml:space="preserve">MV-0176</t>
  </si>
  <si>
    <t xml:space="preserve">MV-0177</t>
  </si>
  <si>
    <t xml:space="preserve">MV-0178</t>
  </si>
  <si>
    <t xml:space="preserve">Mercedes</t>
  </si>
  <si>
    <t xml:space="preserve">C200</t>
  </si>
  <si>
    <t xml:space="preserve">MV-0179</t>
  </si>
  <si>
    <t xml:space="preserve">MV-0180</t>
  </si>
  <si>
    <t xml:space="preserve">MV-0181</t>
  </si>
  <si>
    <t xml:space="preserve">MV-0182</t>
  </si>
  <si>
    <t xml:space="preserve">MV-0183</t>
  </si>
  <si>
    <t xml:space="preserve">MV-0184</t>
  </si>
  <si>
    <t xml:space="preserve">MV-0185</t>
  </si>
  <si>
    <t xml:space="preserve">MV-0186</t>
  </si>
  <si>
    <t xml:space="preserve">MV-0187</t>
  </si>
  <si>
    <t xml:space="preserve">MV-0188</t>
  </si>
  <si>
    <t xml:space="preserve">MV-0189</t>
  </si>
  <si>
    <t xml:space="preserve">MV-0190</t>
  </si>
  <si>
    <t xml:space="preserve">MV-0191</t>
  </si>
  <si>
    <t xml:space="preserve">MV-0192</t>
  </si>
  <si>
    <t xml:space="preserve">MV-0193</t>
  </si>
  <si>
    <t xml:space="preserve">MV-0194</t>
  </si>
  <si>
    <t xml:space="preserve">MV-0195</t>
  </si>
  <si>
    <t xml:space="preserve">MV-0196</t>
  </si>
  <si>
    <t xml:space="preserve">MV-0197</t>
  </si>
  <si>
    <t xml:space="preserve">MV-0198</t>
  </si>
  <si>
    <t xml:space="preserve">MV-0199</t>
  </si>
  <si>
    <t xml:space="preserve">MV-0200</t>
  </si>
  <si>
    <t xml:space="preserve">TOTALS / AVERAGES (use in loss ratio calculation)</t>
  </si>
  <si>
    <t xml:space="preserve">MV_Claims — Claims Records Linked to MV_Policies  |  GROUP A</t>
  </si>
  <si>
    <t xml:space="preserve">Each row = one claim. Policy_ID links back to MV_Policies. Net_Payout_MYR is what the insurer actually paid out. Use these to calculate severity and loss ratio.</t>
  </si>
  <si>
    <t xml:space="preserve">LEARNING TASK: 1) Calculate average severity per claim type. 2) Calculate overall loss ratio = SUM(Net_Payout) / SUM(Final_Premium from MV_Policies). 3) Which claim type costs the most? Which settles fastest?</t>
  </si>
  <si>
    <t xml:space="preserve">Third Party Property</t>
  </si>
  <si>
    <t xml:space="preserve">NOT AT FAULT</t>
  </si>
  <si>
    <t xml:space="preserve">CLM-0002</t>
  </si>
  <si>
    <t xml:space="preserve">Personal Accident</t>
  </si>
  <si>
    <t xml:space="preserve">PARTIAL</t>
  </si>
  <si>
    <t xml:space="preserve">CLM-0003</t>
  </si>
  <si>
    <t xml:space="preserve">CLM-0004</t>
  </si>
  <si>
    <t xml:space="preserve">DECLINED</t>
  </si>
  <si>
    <t xml:space="preserve">CLM-0005</t>
  </si>
  <si>
    <t xml:space="preserve">CLM-0006</t>
  </si>
  <si>
    <t xml:space="preserve">PENDING</t>
  </si>
  <si>
    <t xml:space="preserve">CLM-0007</t>
  </si>
  <si>
    <t xml:space="preserve">CLM-0008</t>
  </si>
  <si>
    <t xml:space="preserve">CLM-0009</t>
  </si>
  <si>
    <t xml:space="preserve">CLM-0010</t>
  </si>
  <si>
    <t xml:space="preserve">Windscreen</t>
  </si>
  <si>
    <t xml:space="preserve">CLM-0011</t>
  </si>
  <si>
    <t xml:space="preserve">CLM-0012</t>
  </si>
  <si>
    <t xml:space="preserve">CLM-0013</t>
  </si>
  <si>
    <t xml:space="preserve">CLM-0014</t>
  </si>
  <si>
    <t xml:space="preserve">CLM-0015</t>
  </si>
  <si>
    <t xml:space="preserve">CLM-0016</t>
  </si>
  <si>
    <t xml:space="preserve">CLM-0017</t>
  </si>
  <si>
    <t xml:space="preserve">CLM-0018</t>
  </si>
  <si>
    <t xml:space="preserve">CLM-0019</t>
  </si>
  <si>
    <t xml:space="preserve">SUMMARY STATISTICS</t>
  </si>
  <si>
    <t xml:space="preserve">Avg Claim Amount</t>
  </si>
  <si>
    <t xml:space="preserve">Avg Net Payout</t>
  </si>
  <si>
    <t xml:space="preserve">Total Net Payout</t>
  </si>
  <si>
    <t xml:space="preserve">NCD_Rules — No-Claim Discount Scale &amp; Rules  |  GROUP A</t>
  </si>
  <si>
    <t xml:space="preserve">NCD (No Claim Discount) rewards claim-free drivers with discounts on renewal premium. Source: Pindaan Jadual 1, Akta Insurans 1996.</t>
  </si>
  <si>
    <t xml:space="preserve">LEARNING TASK: Calculate the premium saved at each NCD level for a RM2,000 base premium. How many claim-free years does a new driver need to reach maximum discount?</t>
  </si>
  <si>
    <t xml:space="preserve">NCD SCALE (Private Cars &amp; Motorcycles)</t>
  </si>
  <si>
    <t xml:space="preserve">Years Claim-Free</t>
  </si>
  <si>
    <t xml:space="preserve">NCD Rate</t>
  </si>
  <si>
    <t xml:space="preserve">Discount on RM2,000 Base</t>
  </si>
  <si>
    <t xml:space="preserve">Discount on RM5,000 Base</t>
  </si>
  <si>
    <t xml:space="preserve">Interpretation</t>
  </si>
  <si>
    <t xml:space="preserve">New driver or had a claim in previous year — no discount</t>
  </si>
  <si>
    <t xml:space="preserve">First claim-free year — 25% discount on renewal</t>
  </si>
  <si>
    <t xml:space="preserve">Second claim-free year — 30% discount</t>
  </si>
  <si>
    <t xml:space="preserve">Third claim-free year — 38.33% discount</t>
  </si>
  <si>
    <t xml:space="preserve">Fourth claim-free year — 45% discount</t>
  </si>
  <si>
    <t xml:space="preserve">5+</t>
  </si>
  <si>
    <t xml:space="preserve">Five or more claim-free years — MAXIMUM 55% discount</t>
  </si>
  <si>
    <t xml:space="preserve">KEY RULES</t>
  </si>
  <si>
    <t xml:space="preserve">NCD is portable</t>
  </si>
  <si>
    <t xml:space="preserve">NCD follows the insured, not the vehicle. When changing cars, you keep your NCD.</t>
  </si>
  <si>
    <t xml:space="preserve">NCD is forfeited</t>
  </si>
  <si>
    <t xml:space="preserve">Making a claim resets NCD to 0% at the next renewal — regardless of current level.</t>
  </si>
  <si>
    <t xml:space="preserve">NCD protection riders</t>
  </si>
  <si>
    <t xml:space="preserve">Some insurers offer NCD protector add-ons: pay extra to retain NCD after one claim.</t>
  </si>
  <si>
    <t xml:space="preserve">Partial loss of NCD</t>
  </si>
  <si>
    <t xml:space="preserve">Some insurers reduce NCD one band (e.g. 55%→45%) rather than full reset for minor claims.</t>
  </si>
  <si>
    <t xml:space="preserve">Commercial vehicles</t>
  </si>
  <si>
    <t xml:space="preserve">NCD scale is the same but commercial vehicle premiums are higher pre-discount.</t>
  </si>
  <si>
    <t xml:space="preserve">International recognition</t>
  </si>
  <si>
    <t xml:space="preserve">NCD earned in Malaysia is recognised by insurers in Singapore and some UK insurers.</t>
  </si>
  <si>
    <t xml:space="preserve">After detariffication (2017)</t>
  </si>
  <si>
    <t xml:space="preserve">Insurers can now price beyond the NCD scale — NCD remains but loadings are also applied.</t>
  </si>
  <si>
    <t xml:space="preserve">WORKED EXAMPLE</t>
  </si>
  <si>
    <t xml:space="preserve">Base Premium (before NCD):</t>
  </si>
  <si>
    <t xml:space="preserve">Driver has been claim-free for 5 years</t>
  </si>
  <si>
    <t xml:space="preserve">NCD Rate = 55%</t>
  </si>
  <si>
    <t xml:space="preserve">NCD Deduction</t>
  </si>
  <si>
    <t xml:space="preserve">Final Premium payable</t>
  </si>
  <si>
    <t xml:space="preserve">Saving vs no NCD</t>
  </si>
  <si>
    <t xml:space="preserve">MV_Risk_Factors — P×S Underwriting Risk Factor Table  |  GROUP A</t>
  </si>
  <si>
    <t xml:space="preserve">P×S = Probability × Severity composite score (1–25). 33 factors across 6 categories. Score ≥ 17 = HIGH RISK; ≥ 21 = CRITICAL → 30–50% premium loading.</t>
  </si>
  <si>
    <t xml:space="preserve">LEARNING TASK: Pick 5 policies from MV_Policies. Look up each factor for that policy and manually calculate the risk score. Does your calculated score match the Risk_Score column?</t>
  </si>
  <si>
    <t xml:space="preserve">Category</t>
  </si>
  <si>
    <t xml:space="preserve">Risk Factor</t>
  </si>
  <si>
    <t xml:space="preserve">Low Risk</t>
  </si>
  <si>
    <t xml:space="preserve">Medium Risk</t>
  </si>
  <si>
    <t xml:space="preserve">High Risk</t>
  </si>
  <si>
    <t xml:space="preserve">Score Range</t>
  </si>
  <si>
    <t xml:space="preserve">Underwriting Action</t>
  </si>
  <si>
    <t xml:space="preserve">Driver</t>
  </si>
  <si>
    <t xml:space="preserve">Driver Age (years)</t>
  </si>
  <si>
    <t xml:space="preserve">25–55</t>
  </si>
  <si>
    <t xml:space="preserve">21–24 or 56–65</t>
  </si>
  <si>
    <t xml:space="preserve">&lt;21 or &gt;65</t>
  </si>
  <si>
    <t xml:space="preserve">0–4</t>
  </si>
  <si>
    <t xml:space="preserve">Age &lt;25: +15%; &lt;20: +35%</t>
  </si>
  <si>
    <t xml:space="preserve">Gender + Age combo</t>
  </si>
  <si>
    <t xml:space="preserve">M 25–55</t>
  </si>
  <si>
    <t xml:space="preserve">M 18–24</t>
  </si>
  <si>
    <t xml:space="preserve">M &lt;18 or F&lt;20</t>
  </si>
  <si>
    <t xml:space="preserve">0–2</t>
  </si>
  <si>
    <t xml:space="preserve">Young male: highest risk</t>
  </si>
  <si>
    <t xml:space="preserve">Years Licensed</t>
  </si>
  <si>
    <t xml:space="preserve">5+ years</t>
  </si>
  <si>
    <t xml:space="preserve">2–4 years</t>
  </si>
  <si>
    <t xml:space="preserve">&lt;2 years</t>
  </si>
  <si>
    <t xml:space="preserve">0–3</t>
  </si>
  <si>
    <t xml:space="preserve">&lt; 2 years: +20% loading</t>
  </si>
  <si>
    <t xml:space="preserve">Professional/Exec</t>
  </si>
  <si>
    <t xml:space="preserve">Clerical/Sales</t>
  </si>
  <si>
    <t xml:space="preserve">Manual/Delivery</t>
  </si>
  <si>
    <t xml:space="preserve">Delivery/Grab: commercial rate</t>
  </si>
  <si>
    <t xml:space="preserve">Annual Mileage (km)</t>
  </si>
  <si>
    <t xml:space="preserve">&lt;15,000</t>
  </si>
  <si>
    <t xml:space="preserve">15,000–30,000</t>
  </si>
  <si>
    <t xml:space="preserve">&gt;30,000</t>
  </si>
  <si>
    <t xml:space="preserve">High mileage: frequency loading</t>
  </si>
  <si>
    <t xml:space="preserve">Previous Claims (3yr)</t>
  </si>
  <si>
    <t xml:space="preserve">0 claims</t>
  </si>
  <si>
    <t xml:space="preserve">1 claim</t>
  </si>
  <si>
    <t xml:space="preserve">2+ claims</t>
  </si>
  <si>
    <t xml:space="preserve">2+ claims: may decline renewal</t>
  </si>
  <si>
    <t xml:space="preserve">Traffic Violations</t>
  </si>
  <si>
    <t xml:space="preserve">0 in 3yr</t>
  </si>
  <si>
    <t xml:space="preserve">1–2 in 3yr</t>
  </si>
  <si>
    <t xml:space="preserve">3+ in 3yr</t>
  </si>
  <si>
    <t xml:space="preserve">3+ violations: 25% loading</t>
  </si>
  <si>
    <t xml:space="preserve">Vehicle</t>
  </si>
  <si>
    <t xml:space="preserve">Engine CC</t>
  </si>
  <si>
    <t xml:space="preserve">&lt;1,300cc</t>
  </si>
  <si>
    <t xml:space="preserve">1,300–2,000cc</t>
  </si>
  <si>
    <t xml:space="preserve">&gt;2,000cc</t>
  </si>
  <si>
    <t xml:space="preserve">&gt;2500cc: sport loading applies</t>
  </si>
  <si>
    <t xml:space="preserve">Vehicle Age</t>
  </si>
  <si>
    <t xml:space="preserve">&lt;5 years</t>
  </si>
  <si>
    <t xml:space="preserve">5–10 years</t>
  </si>
  <si>
    <t xml:space="preserve">&gt;10 years</t>
  </si>
  <si>
    <t xml:space="preserve">Old vehicle: higher repair cost</t>
  </si>
  <si>
    <t xml:space="preserve">Vehicle Value (MYR)</t>
  </si>
  <si>
    <t xml:space="preserve">&lt;50,000</t>
  </si>
  <si>
    <t xml:space="preserve">50,000–150,000</t>
  </si>
  <si>
    <t xml:space="preserve">&gt;150,000</t>
  </si>
  <si>
    <t xml:space="preserve">High-value: specialist parts risk</t>
  </si>
  <si>
    <t xml:space="preserve">Modification Status</t>
  </si>
  <si>
    <t xml:space="preserve">Stock/standard</t>
  </si>
  <si>
    <t xml:space="preserve">Minor mods</t>
  </si>
  <si>
    <t xml:space="preserve">Major mods</t>
  </si>
  <si>
    <t xml:space="preserve">Major mods: underwriting referral</t>
  </si>
  <si>
    <t xml:space="preserve">Safety Features</t>
  </si>
  <si>
    <t xml:space="preserve">ADAS, AEB, ESC</t>
  </si>
  <si>
    <t xml:space="preserve">Some safety</t>
  </si>
  <si>
    <t xml:space="preserve">Minimal</t>
  </si>
  <si>
    <t xml:space="preserve">ADAS discount up to −10%</t>
  </si>
  <si>
    <t xml:space="preserve">Tyre Condition</t>
  </si>
  <si>
    <t xml:space="preserve">New/good</t>
  </si>
  <si>
    <t xml:space="preserve">Moderate</t>
  </si>
  <si>
    <t xml:space="preserve">Worn/illegal</t>
  </si>
  <si>
    <t xml:space="preserve">Worn tyres: void cover</t>
  </si>
  <si>
    <t xml:space="preserve">Usage</t>
  </si>
  <si>
    <t xml:space="preserve">Primary Use</t>
  </si>
  <si>
    <t xml:space="preserve">Private commute</t>
  </si>
  <si>
    <t xml:space="preserve">Business use</t>
  </si>
  <si>
    <t xml:space="preserve">Hire/reward</t>
  </si>
  <si>
    <t xml:space="preserve">Hire/reward: commercial policy</t>
  </si>
  <si>
    <t xml:space="preserve">Parking (night)</t>
  </si>
  <si>
    <t xml:space="preserve">Garaged</t>
  </si>
  <si>
    <t xml:space="preserve">Driveway/carpark</t>
  </si>
  <si>
    <t xml:space="preserve">Street parking</t>
  </si>
  <si>
    <t xml:space="preserve">Street: theft +15%</t>
  </si>
  <si>
    <t xml:space="preserve">Geographic Area</t>
  </si>
  <si>
    <t xml:space="preserve">Rural/suburban</t>
  </si>
  <si>
    <t xml:space="preserve">High-theft zone</t>
  </si>
  <si>
    <t xml:space="preserve">Kuala Lumpur city +10%</t>
  </si>
  <si>
    <t xml:space="preserve">Annual Trips</t>
  </si>
  <si>
    <t xml:space="preserve">&lt;5,000</t>
  </si>
  <si>
    <t xml:space="preserve">5,000–10,000</t>
  </si>
  <si>
    <t xml:space="preserve">&gt;10,000</t>
  </si>
  <si>
    <t xml:space="preserve">High trip frequency: OD loading</t>
  </si>
  <si>
    <t xml:space="preserve">Claims History</t>
  </si>
  <si>
    <t xml:space="preserve">Claim Frequency (5yr)</t>
  </si>
  <si>
    <t xml:space="preserve">0</t>
  </si>
  <si>
    <t xml:space="preserve">1</t>
  </si>
  <si>
    <t xml:space="preserve">2+</t>
  </si>
  <si>
    <t xml:space="preserve">2+ at-fault: decline or load +30%</t>
  </si>
  <si>
    <t xml:space="preserve">Severity History</t>
  </si>
  <si>
    <t xml:space="preserve">Low (&lt;5,000)</t>
  </si>
  <si>
    <t xml:space="preserve">Med (5–20k)</t>
  </si>
  <si>
    <t xml:space="preserve">High (&gt;20k)</t>
  </si>
  <si>
    <t xml:space="preserve">Repeat large claims: review</t>
  </si>
  <si>
    <t xml:space="preserve">Fault Profile</t>
  </si>
  <si>
    <t xml:space="preserve">Not at fault</t>
  </si>
  <si>
    <t xml:space="preserve">Partial fault</t>
  </si>
  <si>
    <t xml:space="preserve">At fault</t>
  </si>
  <si>
    <t xml:space="preserve">At-fault history: key signal</t>
  </si>
  <si>
    <t xml:space="preserve">Fraud Indicators</t>
  </si>
  <si>
    <t xml:space="preserve">None</t>
  </si>
  <si>
    <t xml:space="preserve">Minor</t>
  </si>
  <si>
    <t xml:space="preserve">Suspicious</t>
  </si>
  <si>
    <t xml:space="preserve">Suspicious: referral to SIU</t>
  </si>
  <si>
    <t xml:space="preserve">Environmental</t>
  </si>
  <si>
    <t xml:space="preserve">Flood Zone</t>
  </si>
  <si>
    <t xml:space="preserve">Low risk</t>
  </si>
  <si>
    <t xml:space="preserve">Medium risk</t>
  </si>
  <si>
    <t xml:space="preserve">High flood zone</t>
  </si>
  <si>
    <t xml:space="preserve">Flood zone: named perils add-on</t>
  </si>
  <si>
    <t xml:space="preserve">Crime Rate (area)</t>
  </si>
  <si>
    <t xml:space="preserve">Low</t>
  </si>
  <si>
    <t xml:space="preserve">Medium</t>
  </si>
  <si>
    <t xml:space="preserve">High</t>
  </si>
  <si>
    <t xml:space="preserve">High-crime: theft + VB loading</t>
  </si>
  <si>
    <t xml:space="preserve">Road Type</t>
  </si>
  <si>
    <t xml:space="preserve">Highway primary</t>
  </si>
  <si>
    <t xml:space="preserve">Urban mixed</t>
  </si>
  <si>
    <t xml:space="preserve">Rural/unlit</t>
  </si>
  <si>
    <t xml:space="preserve">Rural unlit: night risk</t>
  </si>
  <si>
    <t xml:space="preserve">Seasonal Risk</t>
  </si>
  <si>
    <t xml:space="preserve">Year-round</t>
  </si>
  <si>
    <t xml:space="preserve">Monsoon seasonal</t>
  </si>
  <si>
    <t xml:space="preserve">High exposure</t>
  </si>
  <si>
    <t xml:space="preserve">E-coast monsoon: Oct–Feb</t>
  </si>
  <si>
    <t xml:space="preserve">Security</t>
  </si>
  <si>
    <t xml:space="preserve">Immobiliser</t>
  </si>
  <si>
    <t xml:space="preserve">Factory fitted</t>
  </si>
  <si>
    <t xml:space="preserve">Aftermarket</t>
  </si>
  <si>
    <t xml:space="preserve">No immobiliser: +15% theft</t>
  </si>
  <si>
    <t xml:space="preserve">GPS Tracking</t>
  </si>
  <si>
    <t xml:space="preserve">Active tracking</t>
  </si>
  <si>
    <t xml:space="preserve">Passive</t>
  </si>
  <si>
    <t xml:space="preserve">Active GPS: −5% discount</t>
  </si>
  <si>
    <t xml:space="preserve">Alarm System</t>
  </si>
  <si>
    <t xml:space="preserve">OEM alarm</t>
  </si>
  <si>
    <t xml:space="preserve">Policy</t>
  </si>
  <si>
    <t xml:space="preserve">Excess Chosen</t>
  </si>
  <si>
    <t xml:space="preserve">High (&gt;1,000)</t>
  </si>
  <si>
    <t xml:space="preserve">Standard</t>
  </si>
  <si>
    <t xml:space="preserve">Minimum</t>
  </si>
  <si>
    <t xml:space="preserve">Low excess = higher moral hazard</t>
  </si>
  <si>
    <t xml:space="preserve">Named Drivers</t>
  </si>
  <si>
    <t xml:space="preserve">1 (owner only)</t>
  </si>
  <si>
    <t xml:space="preserve">2–3</t>
  </si>
  <si>
    <t xml:space="preserve">4+</t>
  </si>
  <si>
    <t xml:space="preserve">Many young named: reload</t>
  </si>
  <si>
    <t xml:space="preserve">Policy Lapse History</t>
  </si>
  <si>
    <t xml:space="preserve">No lapse</t>
  </si>
  <si>
    <t xml:space="preserve">1 lapse</t>
  </si>
  <si>
    <t xml:space="preserve">2+ lapses</t>
  </si>
  <si>
    <t xml:space="preserve">Lapse: lose NCD continuity</t>
  </si>
  <si>
    <t xml:space="preserve">Sum Insured Accuracy</t>
  </si>
  <si>
    <t xml:space="preserve">Accurate</t>
  </si>
  <si>
    <t xml:space="preserve">±10%</t>
  </si>
  <si>
    <t xml:space="preserve">Underinsured &gt;10%</t>
  </si>
  <si>
    <t xml:space="preserve">Underinsurance: avg condition</t>
  </si>
  <si>
    <t xml:space="preserve">Premium Payment</t>
  </si>
  <si>
    <t xml:space="preserve">Annual full</t>
  </si>
  <si>
    <t xml:space="preserve">Semi-annual</t>
  </si>
  <si>
    <t xml:space="preserve">Monthly</t>
  </si>
  <si>
    <t xml:space="preserve">0–1</t>
  </si>
  <si>
    <t xml:space="preserve">Monthly: admin loading</t>
  </si>
  <si>
    <t xml:space="preserve">SCORE INTERPRETATION &amp; UNDERWRITING ACTIONS</t>
  </si>
  <si>
    <t xml:space="preserve">1–8</t>
  </si>
  <si>
    <t xml:space="preserve">GREEN</t>
  </si>
  <si>
    <t xml:space="preserve">No loading. Standard market terms. May qualify for loyalty discount.</t>
  </si>
  <si>
    <t xml:space="preserve">9–16</t>
  </si>
  <si>
    <t xml:space="preserve">AMBER</t>
  </si>
  <si>
    <t xml:space="preserve">Standard terms. No loading unless specific factors triggered (e.g. mods, young driver).</t>
  </si>
  <si>
    <t xml:space="preserve">17–20</t>
  </si>
  <si>
    <t xml:space="preserve">RED</t>
  </si>
  <si>
    <t xml:space="preserve">Refer to underwriter. 30% premium loading may apply. Additional conditions possible.</t>
  </si>
  <si>
    <t xml:space="preserve">21–25</t>
  </si>
  <si>
    <t xml:space="preserve">CRITICAL</t>
  </si>
  <si>
    <t xml:space="preserve">DARK RED</t>
  </si>
  <si>
    <t xml:space="preserve">Senior underwriter referral required. 30–50% loading or decline to quote.</t>
  </si>
  <si>
    <t xml:space="preserve">EV_Int_Benchmarks — International EV vs ICE Claim Data  |  GROUP B</t>
  </si>
  <si>
    <t xml:space="preserve">Source data from HLDI (USA), Thatcham Research (UK), GDV (Germany), Finans Norge (Norway), CIRC (China). MYR conversion at 4.70.</t>
  </si>
  <si>
    <t xml:space="preserve">LEARNING TASK (Group B): 1) Calculate average Freq_Ratio and Severity_Ratio across all countries. 2) Which country has the highest EV frequency premium? 3) Use these ratios as inputs to your transfer learning model.</t>
  </si>
  <si>
    <t xml:space="preserve">EV_Claim_Freq_%</t>
  </si>
  <si>
    <t xml:space="preserve">ICE_Claim_Freq_%</t>
  </si>
  <si>
    <t xml:space="preserve">ICE_Severity_MYR</t>
  </si>
  <si>
    <t xml:space="preserve">Source / Notes</t>
  </si>
  <si>
    <t xml:space="preserve">USA</t>
  </si>
  <si>
    <t xml:space="preserve">HLDI Insurance Special Report: Electric Vehicles, 2020</t>
  </si>
  <si>
    <t xml:space="preserve">HLDI Insurance Special Report: Electric Vehicles, 2021</t>
  </si>
  <si>
    <t xml:space="preserve">HLDI Insurance Special Report: Electric Vehicles, 2022</t>
  </si>
  <si>
    <t xml:space="preserve">HLDI Insurance Special Report: Electric Vehicles, 2023</t>
  </si>
  <si>
    <t xml:space="preserve">HLDI Insurance Special Report: Electric Vehicles, 2024 (prelim)</t>
  </si>
  <si>
    <t xml:space="preserve">UK</t>
  </si>
  <si>
    <t xml:space="preserve">Thatcham Research: EV Insurance Costs Report 2021</t>
  </si>
  <si>
    <t xml:space="preserve">Thatcham Research: EV Insurance Costs Report 2022</t>
  </si>
  <si>
    <t xml:space="preserve">Thatcham Research: EV Insurance Costs Report 2023</t>
  </si>
  <si>
    <t xml:space="preserve">ABI / Thatcham EV Insurance Study 2024</t>
  </si>
  <si>
    <t xml:space="preserve">Germany</t>
  </si>
  <si>
    <t xml:space="preserve">GDV Statistisches Taschenbuch 2021 (Motor)</t>
  </si>
  <si>
    <t xml:space="preserve">GDV Statistisches Taschenbuch 2022 (Motor)</t>
  </si>
  <si>
    <t xml:space="preserve">GDV Statistisches Taschenbuch 2023 (Motor)</t>
  </si>
  <si>
    <t xml:space="preserve">GDV Statistisches Taschenbuch 2024 (prelim)</t>
  </si>
  <si>
    <t xml:space="preserve">Norway</t>
  </si>
  <si>
    <t xml:space="preserve">Finans Norge / Tryg EV Motor Study 2021</t>
  </si>
  <si>
    <t xml:space="preserve">Finans Norge / Tryg EV Motor Study 2022</t>
  </si>
  <si>
    <t xml:space="preserve">Finans Norge / Tryg EV Motor Study 2023</t>
  </si>
  <si>
    <t xml:space="preserve">Finans Norge / Tryg EV Motor Study 2024</t>
  </si>
  <si>
    <t xml:space="preserve">China</t>
  </si>
  <si>
    <t xml:space="preserve">CBIRC Motor Insurance Annual Report 2021</t>
  </si>
  <si>
    <t xml:space="preserve">CBIRC Motor Insurance Annual Report 2022</t>
  </si>
  <si>
    <t xml:space="preserve">CBIRC Motor Insurance Annual Report 2023</t>
  </si>
  <si>
    <t xml:space="preserve">CBIRC Motor Insurance Annual Report 2024 (prelim)</t>
  </si>
  <si>
    <t xml:space="preserve">Singapore</t>
  </si>
  <si>
    <t xml:space="preserve">LTA / GIA Singapore EV Statistics 2022</t>
  </si>
  <si>
    <t xml:space="preserve">LTA / GIA Singapore EV Statistics 2023</t>
  </si>
  <si>
    <t xml:space="preserve">LTA / GIA Singapore EV Statistics 2024</t>
  </si>
  <si>
    <t xml:space="preserve">Australia</t>
  </si>
  <si>
    <t xml:space="preserve">NRMA / ICA EV Insurance Study 2023</t>
  </si>
  <si>
    <t xml:space="preserve">NRMA / ICA EV Insurance Study 2024</t>
  </si>
  <si>
    <t xml:space="preserve">WEIGHTED AVERAGES (use as transfer learning inputs)</t>
  </si>
  <si>
    <t xml:space="preserve">ALL</t>
  </si>
  <si>
    <t xml:space="preserve">International baseline for transfer learning</t>
  </si>
  <si>
    <t xml:space="preserve">EV_Battery_Data — Battery Chemistry Risk Properties  |  GROUP B</t>
  </si>
  <si>
    <t xml:space="preserve">Battery chemistry determines thermal runaway risk, repair cost, and insurability. Malaysia fleet composition estimated from JPJ registration data 2024.</t>
  </si>
  <si>
    <t xml:space="preserve">LEARNING TASK: Use Malaysia_Fleet_Pct as weights to calculate a fleet-weighted average risk score. How does chemistry mix affect the aggregate underwriting risk of the Malaysian EV fleet?</t>
  </si>
  <si>
    <t xml:space="preserve">Full Name</t>
  </si>
  <si>
    <t xml:space="preserve">Peak_Temp_C</t>
  </si>
  <si>
    <t xml:space="preserve">Underwriting_Notes</t>
  </si>
  <si>
    <t xml:space="preserve">Malaysia Example Models</t>
  </si>
  <si>
    <t xml:space="preserve">Lithium Iron Phosphate</t>
  </si>
  <si>
    <t xml:space="preserve">Safest chemistry. Thermal runaway onset at 270°C requires extreme conditions. Lower energy density means heavier/larger pack for same range. Fire risk very low. Preferred for commercial and fleet insurance.</t>
  </si>
  <si>
    <t xml:space="preserve">BYD Atto 3, BYD Dolphin, Chery Omoda E5</t>
  </si>
  <si>
    <t xml:space="preserve">NMC</t>
  </si>
  <si>
    <t xml:space="preserve">Lithium Nickel Manganese Cobalt</t>
  </si>
  <si>
    <t xml:space="preserve">Most common in premium EVs. Moderate thermal risk. Onset at 150–210°C means garage fire risk exists. Higher energy density = better range. Repair cost higher due to mixed cathode complexity. Most Malaysian EVs use this chemistry.</t>
  </si>
  <si>
    <t xml:space="preserve">Tesla Model 3 LR, Hyundai Ioniq 5, BMW iX, Volvo XC40, Mercedes EQS</t>
  </si>
  <si>
    <t xml:space="preserve">NCA</t>
  </si>
  <si>
    <t xml:space="preserve">Lithium Nickel Cobalt Aluminium</t>
  </si>
  <si>
    <t xml:space="preserve">Highest energy density but lowest thermal stability. Onset at 130–150°C. Once thermal runaway starts, very difficult to suppress. Requires specialist fire response (20,000L+ water). Most expensive to insure.</t>
  </si>
  <si>
    <t xml:space="preserve">Tesla Model 3 Performance, Tesla Model S, Tesla Model X</t>
  </si>
  <si>
    <t xml:space="preserve">LMFP</t>
  </si>
  <si>
    <t xml:space="preserve">Lithium Manganese Iron Phosphate</t>
  </si>
  <si>
    <t xml:space="preserve">LOW-MEDIUM</t>
  </si>
  <si>
    <t xml:space="preserve">Emerging chemistry combining LFP stability with higher energy density. Better range than standard LFP. Limited real-world claims data as of 2024. Treat as LFP for underwriting until sufficient data exists.</t>
  </si>
  <si>
    <t xml:space="preserve">BYD Seal (China spec), Upcoming BYD models 2025</t>
  </si>
  <si>
    <t xml:space="preserve">Solid-State</t>
  </si>
  <si>
    <t xml:space="preserve">Solid electrolyte (next-gen)</t>
  </si>
  <si>
    <t xml:space="preserve">LOW (projected)</t>
  </si>
  <si>
    <t xml:space="preserve">Not yet in volume production as of 2024. Projected to eliminate liquid electrolyte fire risk. Toyota, BMW, and CATL targeting 2026–2028 commercialisation. Monitor for underwriting guidelines update.</t>
  </si>
  <si>
    <t xml:space="preserve">No Malaysian models yet — future watch list</t>
  </si>
  <si>
    <t xml:space="preserve">FLEET COMPOSITION CHECK</t>
  </si>
  <si>
    <t xml:space="preserve">Total fleet coverage:</t>
  </si>
  <si>
    <t xml:space="preserve">(LFP 32% + NMC 45% + NCA 6% + LMFP 8% = 91%; remaining 9% is unclassified/other)</t>
  </si>
  <si>
    <t xml:space="preserve">EV_Models_Malaysia — Models Registered in Malaysia  |  GROUP B</t>
  </si>
  <si>
    <t xml:space="preserve">All prices in MYR. Battery replacement cost estimated at 60–80% of vehicle ex-showroom for high-voltage pack replacement. USD/MYR = 4.70.</t>
  </si>
  <si>
    <t xml:space="preserve">LEARNING TASK: Calculate Battery_Repl_Cost as % of Ex_Showroom_MYR for each model. Which model has the highest replacement cost ratio? How does this affect sum-insured selection?</t>
  </si>
  <si>
    <t xml:space="preserve">Market_Share_Malaysia_%</t>
  </si>
  <si>
    <t xml:space="preserve">BYD</t>
  </si>
  <si>
    <t xml:space="preserve">Atto 3</t>
  </si>
  <si>
    <t xml:space="preserve">Dolphin</t>
  </si>
  <si>
    <t xml:space="preserve">Tesla</t>
  </si>
  <si>
    <t xml:space="preserve">Model 3 LR</t>
  </si>
  <si>
    <t xml:space="preserve">Model 3 Perf</t>
  </si>
  <si>
    <t xml:space="preserve">Ioniq 5</t>
  </si>
  <si>
    <t xml:space="preserve">iX xDrive50</t>
  </si>
  <si>
    <t xml:space="preserve">Volvo</t>
  </si>
  <si>
    <t xml:space="preserve">XC40 Recharge</t>
  </si>
  <si>
    <t xml:space="preserve">EQS 450+</t>
  </si>
  <si>
    <t xml:space="preserve">Chery</t>
  </si>
  <si>
    <t xml:space="preserve">Omoda E5</t>
  </si>
  <si>
    <t xml:space="preserve">Ora</t>
  </si>
  <si>
    <t xml:space="preserve">Good Cat</t>
  </si>
  <si>
    <t xml:space="preserve">MG</t>
  </si>
  <si>
    <t xml:space="preserve">4 EV</t>
  </si>
  <si>
    <t xml:space="preserve">Leaf e+</t>
  </si>
  <si>
    <t xml:space="preserve">FLEET TOTALS</t>
  </si>
  <si>
    <t xml:space="preserve">EV_Proxy_Dataset — 200 Simulated EV Policies (Bayesian Prior Proxy)  |  GROUP B</t>
  </si>
  <si>
    <t xml:space="preserve">Simulated using international benchmarks + transfer learning adjustments. Use as proxy dataset for Week 5 Monte Carlo and Week 6 Bayesian prior. NOT real Malaysian data.</t>
  </si>
  <si>
    <t xml:space="preserve">LEARNING TASK: 1) Calculate actual simulated claim frequency = SUM(Simulated_Claim)/200. Compare to Malaysia_Adj_Freq average. 2) Calculate average Claim_Severity_MYR for rows where Simulated_Claim=1. This is your simulated severity input.</t>
  </si>
  <si>
    <t xml:space="preserve">Int_Base_Freq_%</t>
  </si>
  <si>
    <t xml:space="preserve">Malaysia_Adj_Freq_%</t>
  </si>
  <si>
    <t xml:space="preserve">Annual_Premium_MYR</t>
  </si>
  <si>
    <t xml:space="preserve">EV-0002</t>
  </si>
  <si>
    <t xml:space="preserve">EV-0003</t>
  </si>
  <si>
    <t xml:space="preserve">EV-0004</t>
  </si>
  <si>
    <t xml:space="preserve">EV-0005</t>
  </si>
  <si>
    <t xml:space="preserve">EV-0006</t>
  </si>
  <si>
    <t xml:space="preserve">EV-0007</t>
  </si>
  <si>
    <t xml:space="preserve">EV-0008</t>
  </si>
  <si>
    <t xml:space="preserve">EV-0009</t>
  </si>
  <si>
    <t xml:space="preserve">EV-0010</t>
  </si>
  <si>
    <t xml:space="preserve">EV-0011</t>
  </si>
  <si>
    <t xml:space="preserve">EV-0012</t>
  </si>
  <si>
    <t xml:space="preserve">EV-0013</t>
  </si>
  <si>
    <t xml:space="preserve">EV-0014</t>
  </si>
  <si>
    <t xml:space="preserve">EV-0015</t>
  </si>
  <si>
    <t xml:space="preserve">EV-0016</t>
  </si>
  <si>
    <t xml:space="preserve">EV-0017</t>
  </si>
  <si>
    <t xml:space="preserve">EV-0018</t>
  </si>
  <si>
    <t xml:space="preserve">EV-0019</t>
  </si>
  <si>
    <t xml:space="preserve">EV-0020</t>
  </si>
  <si>
    <t xml:space="preserve">EV-0021</t>
  </si>
  <si>
    <t xml:space="preserve">EV-0022</t>
  </si>
  <si>
    <t xml:space="preserve">EV-0023</t>
  </si>
  <si>
    <t xml:space="preserve">EV-0024</t>
  </si>
  <si>
    <t xml:space="preserve">EV-0025</t>
  </si>
  <si>
    <t xml:space="preserve">EV-0026</t>
  </si>
  <si>
    <t xml:space="preserve">EV-0027</t>
  </si>
  <si>
    <t xml:space="preserve">EV-0028</t>
  </si>
  <si>
    <t xml:space="preserve">EV-0029</t>
  </si>
  <si>
    <t xml:space="preserve">EV-0030</t>
  </si>
  <si>
    <t xml:space="preserve">EV-0031</t>
  </si>
  <si>
    <t xml:space="preserve">EV-0032</t>
  </si>
  <si>
    <t xml:space="preserve">EV-0033</t>
  </si>
  <si>
    <t xml:space="preserve">EV-0034</t>
  </si>
  <si>
    <t xml:space="preserve">EV-0035</t>
  </si>
  <si>
    <t xml:space="preserve">EV-0036</t>
  </si>
  <si>
    <t xml:space="preserve">EV-0037</t>
  </si>
  <si>
    <t xml:space="preserve">EV-0038</t>
  </si>
  <si>
    <t xml:space="preserve">EV-0039</t>
  </si>
  <si>
    <t xml:space="preserve">EV-0040</t>
  </si>
  <si>
    <t xml:space="preserve">EV-0041</t>
  </si>
  <si>
    <t xml:space="preserve">EV-0042</t>
  </si>
  <si>
    <t xml:space="preserve">EV-0043</t>
  </si>
  <si>
    <t xml:space="preserve">EV-0044</t>
  </si>
  <si>
    <t xml:space="preserve">EV-0045</t>
  </si>
  <si>
    <t xml:space="preserve">EV-0046</t>
  </si>
  <si>
    <t xml:space="preserve">EV-0047</t>
  </si>
  <si>
    <t xml:space="preserve">EV-0048</t>
  </si>
  <si>
    <t xml:space="preserve">EV-0049</t>
  </si>
  <si>
    <t xml:space="preserve">EV-0050</t>
  </si>
  <si>
    <t xml:space="preserve">EV-0051</t>
  </si>
  <si>
    <t xml:space="preserve">EV-0052</t>
  </si>
  <si>
    <t xml:space="preserve">EV-0053</t>
  </si>
  <si>
    <t xml:space="preserve">EV-0054</t>
  </si>
  <si>
    <t xml:space="preserve">EV-0055</t>
  </si>
  <si>
    <t xml:space="preserve">EV-0056</t>
  </si>
  <si>
    <t xml:space="preserve">EV-0057</t>
  </si>
  <si>
    <t xml:space="preserve">EV-0058</t>
  </si>
  <si>
    <t xml:space="preserve">EV-0059</t>
  </si>
  <si>
    <t xml:space="preserve">EV-0060</t>
  </si>
  <si>
    <t xml:space="preserve">EV-0061</t>
  </si>
  <si>
    <t xml:space="preserve">EV-0062</t>
  </si>
  <si>
    <t xml:space="preserve">EV-0063</t>
  </si>
  <si>
    <t xml:space="preserve">EV-0064</t>
  </si>
  <si>
    <t xml:space="preserve">EV-0065</t>
  </si>
  <si>
    <t xml:space="preserve">EV-0066</t>
  </si>
  <si>
    <t xml:space="preserve">EV-0067</t>
  </si>
  <si>
    <t xml:space="preserve">EV-0068</t>
  </si>
  <si>
    <t xml:space="preserve">EV-0069</t>
  </si>
  <si>
    <t xml:space="preserve">EV-0070</t>
  </si>
  <si>
    <t xml:space="preserve">EV-0071</t>
  </si>
  <si>
    <t xml:space="preserve">EV-0072</t>
  </si>
  <si>
    <t xml:space="preserve">EV-0073</t>
  </si>
  <si>
    <t xml:space="preserve">EV-0074</t>
  </si>
  <si>
    <t xml:space="preserve">EV-0075</t>
  </si>
  <si>
    <t xml:space="preserve">EV-0076</t>
  </si>
  <si>
    <t xml:space="preserve">EV-0077</t>
  </si>
  <si>
    <t xml:space="preserve">EV-0078</t>
  </si>
  <si>
    <t xml:space="preserve">EV-0079</t>
  </si>
  <si>
    <t xml:space="preserve">EV-0080</t>
  </si>
  <si>
    <t xml:space="preserve">EV-0081</t>
  </si>
  <si>
    <t xml:space="preserve">EV-0082</t>
  </si>
  <si>
    <t xml:space="preserve">EV-0083</t>
  </si>
  <si>
    <t xml:space="preserve">EV-0084</t>
  </si>
  <si>
    <t xml:space="preserve">EV-0085</t>
  </si>
  <si>
    <t xml:space="preserve">EV-0086</t>
  </si>
  <si>
    <t xml:space="preserve">EV-0087</t>
  </si>
  <si>
    <t xml:space="preserve">EV-0088</t>
  </si>
  <si>
    <t xml:space="preserve">EV-0089</t>
  </si>
  <si>
    <t xml:space="preserve">EV-0090</t>
  </si>
  <si>
    <t xml:space="preserve">EV-0091</t>
  </si>
  <si>
    <t xml:space="preserve">EV-0092</t>
  </si>
  <si>
    <t xml:space="preserve">EV-0093</t>
  </si>
  <si>
    <t xml:space="preserve">EV-0094</t>
  </si>
  <si>
    <t xml:space="preserve">EV-0095</t>
  </si>
  <si>
    <t xml:space="preserve">EV-0096</t>
  </si>
  <si>
    <t xml:space="preserve">EV-0097</t>
  </si>
  <si>
    <t xml:space="preserve">EV-0098</t>
  </si>
  <si>
    <t xml:space="preserve">EV-0099</t>
  </si>
  <si>
    <t xml:space="preserve">EV-0100</t>
  </si>
  <si>
    <t xml:space="preserve">EV-0101</t>
  </si>
  <si>
    <t xml:space="preserve">EV-0102</t>
  </si>
  <si>
    <t xml:space="preserve">EV-0103</t>
  </si>
  <si>
    <t xml:space="preserve">EV-0104</t>
  </si>
  <si>
    <t xml:space="preserve">EV-0105</t>
  </si>
  <si>
    <t xml:space="preserve">EV-0106</t>
  </si>
  <si>
    <t xml:space="preserve">EV-0107</t>
  </si>
  <si>
    <t xml:space="preserve">EV-0108</t>
  </si>
  <si>
    <t xml:space="preserve">EV-0109</t>
  </si>
  <si>
    <t xml:space="preserve">EV-0110</t>
  </si>
  <si>
    <t xml:space="preserve">EV-0111</t>
  </si>
  <si>
    <t xml:space="preserve">EV-0112</t>
  </si>
  <si>
    <t xml:space="preserve">EV-0113</t>
  </si>
  <si>
    <t xml:space="preserve">EV-0114</t>
  </si>
  <si>
    <t xml:space="preserve">EV-0115</t>
  </si>
  <si>
    <t xml:space="preserve">EV-0116</t>
  </si>
  <si>
    <t xml:space="preserve">EV-0117</t>
  </si>
  <si>
    <t xml:space="preserve">EV-0118</t>
  </si>
  <si>
    <t xml:space="preserve">EV-0119</t>
  </si>
  <si>
    <t xml:space="preserve">EV-0120</t>
  </si>
  <si>
    <t xml:space="preserve">EV-0121</t>
  </si>
  <si>
    <t xml:space="preserve">EV-0122</t>
  </si>
  <si>
    <t xml:space="preserve">EV-0123</t>
  </si>
  <si>
    <t xml:space="preserve">EV-0124</t>
  </si>
  <si>
    <t xml:space="preserve">EV-0125</t>
  </si>
  <si>
    <t xml:space="preserve">EV-0126</t>
  </si>
  <si>
    <t xml:space="preserve">EV-0127</t>
  </si>
  <si>
    <t xml:space="preserve">EV-0128</t>
  </si>
  <si>
    <t xml:space="preserve">EV-0129</t>
  </si>
  <si>
    <t xml:space="preserve">EV-0130</t>
  </si>
  <si>
    <t xml:space="preserve">EV-0131</t>
  </si>
  <si>
    <t xml:space="preserve">EV-0132</t>
  </si>
  <si>
    <t xml:space="preserve">EV-0133</t>
  </si>
  <si>
    <t xml:space="preserve">EV-0134</t>
  </si>
  <si>
    <t xml:space="preserve">EV-0135</t>
  </si>
  <si>
    <t xml:space="preserve">EV-0136</t>
  </si>
  <si>
    <t xml:space="preserve">EV-0137</t>
  </si>
  <si>
    <t xml:space="preserve">EV-0138</t>
  </si>
  <si>
    <t xml:space="preserve">EV-0139</t>
  </si>
  <si>
    <t xml:space="preserve">EV-0140</t>
  </si>
  <si>
    <t xml:space="preserve">EV-0141</t>
  </si>
  <si>
    <t xml:space="preserve">EV-0142</t>
  </si>
  <si>
    <t xml:space="preserve">EV-0143</t>
  </si>
  <si>
    <t xml:space="preserve">EV-0144</t>
  </si>
  <si>
    <t xml:space="preserve">EV-0145</t>
  </si>
  <si>
    <t xml:space="preserve">EV-0146</t>
  </si>
  <si>
    <t xml:space="preserve">EV-0147</t>
  </si>
  <si>
    <t xml:space="preserve">EV-0148</t>
  </si>
  <si>
    <t xml:space="preserve">EV-0149</t>
  </si>
  <si>
    <t xml:space="preserve">EV-0150</t>
  </si>
  <si>
    <t xml:space="preserve">EV-0151</t>
  </si>
  <si>
    <t xml:space="preserve">EV-0152</t>
  </si>
  <si>
    <t xml:space="preserve">EV-0153</t>
  </si>
  <si>
    <t xml:space="preserve">EV-0154</t>
  </si>
  <si>
    <t xml:space="preserve">EV-0155</t>
  </si>
  <si>
    <t xml:space="preserve">EV-0156</t>
  </si>
  <si>
    <t xml:space="preserve">EV-0157</t>
  </si>
  <si>
    <t xml:space="preserve">EV-0158</t>
  </si>
  <si>
    <t xml:space="preserve">EV-0159</t>
  </si>
  <si>
    <t xml:space="preserve">EV-0160</t>
  </si>
  <si>
    <t xml:space="preserve">EV-0161</t>
  </si>
  <si>
    <t xml:space="preserve">EV-0162</t>
  </si>
  <si>
    <t xml:space="preserve">EV-0163</t>
  </si>
  <si>
    <t xml:space="preserve">EV-0164</t>
  </si>
  <si>
    <t xml:space="preserve">EV-0165</t>
  </si>
  <si>
    <t xml:space="preserve">EV-0166</t>
  </si>
  <si>
    <t xml:space="preserve">EV-0167</t>
  </si>
  <si>
    <t xml:space="preserve">EV-0168</t>
  </si>
  <si>
    <t xml:space="preserve">EV-0169</t>
  </si>
  <si>
    <t xml:space="preserve">EV-0170</t>
  </si>
  <si>
    <t xml:space="preserve">EV-0171</t>
  </si>
  <si>
    <t xml:space="preserve">EV-0172</t>
  </si>
  <si>
    <t xml:space="preserve">EV-0173</t>
  </si>
  <si>
    <t xml:space="preserve">EV-0174</t>
  </si>
  <si>
    <t xml:space="preserve">EV-0175</t>
  </si>
  <si>
    <t xml:space="preserve">EV-0176</t>
  </si>
  <si>
    <t xml:space="preserve">EV-0177</t>
  </si>
  <si>
    <t xml:space="preserve">EV-0178</t>
  </si>
  <si>
    <t xml:space="preserve">EV-0179</t>
  </si>
  <si>
    <t xml:space="preserve">EV-0180</t>
  </si>
  <si>
    <t xml:space="preserve">EV-0181</t>
  </si>
  <si>
    <t xml:space="preserve">EV-0182</t>
  </si>
  <si>
    <t xml:space="preserve">EV-0183</t>
  </si>
  <si>
    <t xml:space="preserve">EV-0184</t>
  </si>
  <si>
    <t xml:space="preserve">EV-0185</t>
  </si>
  <si>
    <t xml:space="preserve">EV-0186</t>
  </si>
  <si>
    <t xml:space="preserve">EV-0187</t>
  </si>
  <si>
    <t xml:space="preserve">EV-0188</t>
  </si>
  <si>
    <t xml:space="preserve">EV-0189</t>
  </si>
  <si>
    <t xml:space="preserve">EV-0190</t>
  </si>
  <si>
    <t xml:space="preserve">EV-0191</t>
  </si>
  <si>
    <t xml:space="preserve">EV-0192</t>
  </si>
  <si>
    <t xml:space="preserve">EV-0193</t>
  </si>
  <si>
    <t xml:space="preserve">EV-0194</t>
  </si>
  <si>
    <t xml:space="preserve">EV-0195</t>
  </si>
  <si>
    <t xml:space="preserve">EV-0196</t>
  </si>
  <si>
    <t xml:space="preserve">EV-0197</t>
  </si>
  <si>
    <t xml:space="preserve">EV-0198</t>
  </si>
  <si>
    <t xml:space="preserve">EV-0199</t>
  </si>
  <si>
    <t xml:space="preserve">EV-0200</t>
  </si>
  <si>
    <t xml:space="preserve">SIMULATION SUMMARY</t>
  </si>
  <si>
    <t xml:space="preserve">Transfer_Learning — 6-Factor Multiplier Chain: Int'l Benchmark → Malaysia  |  GROUP B</t>
  </si>
  <si>
    <t xml:space="preserve">Shows how the international baseline (8.9%) is adjusted step-by-step to arrive at the Malaysia EV claim frequency estimate (~9.5%).</t>
  </si>
  <si>
    <t xml:space="preserve">LEARNING TASK: Change individual multipliers (column C) and observe how the Final Malaysia Estimate (bottom row) changes. This is the sensitivity analysis for your Week 6 model.</t>
  </si>
  <si>
    <t xml:space="preserve">Factor Name</t>
  </si>
  <si>
    <t xml:space="preserve">Int'l Baseline / Running Value</t>
  </si>
  <si>
    <t xml:space="preserve">Adjustment Multiplier</t>
  </si>
  <si>
    <t xml:space="preserve">After Adjustment</t>
  </si>
  <si>
    <t xml:space="preserve">% Change</t>
  </si>
  <si>
    <t xml:space="preserve">Evidence &amp; Rationale</t>
  </si>
  <si>
    <t xml:space="preserve">Starting point (int'l average)</t>
  </si>
  <si>
    <t xml:space="preserve">8.90%</t>
  </si>
  <si>
    <t xml:space="preserve">Weighted average across USA, UK, Germany, Norway, China, Singapore (EV_Int_Benchmarks sheet, average row)</t>
  </si>
  <si>
    <t xml:space="preserve">Road condition adjustment</t>
  </si>
  <si>
    <t xml:space="preserve">HIGHER</t>
  </si>
  <si>
    <t xml:space="preserve">9.52%</t>
  </si>
  <si>
    <t xml:space="preserve">+7.0%</t>
  </si>
  <si>
    <t xml:space="preserve">Malaysia road fatality rate: 23.0 per 100,000 pop vs UK 2.6, Germany 3.7, Norway 1.5. JPJ Road Safety Annual Report 2023. Higher accident frequency expected.</t>
  </si>
  <si>
    <t xml:space="preserve">NCD discipline effect</t>
  </si>
  <si>
    <t xml:space="preserve">LOWER</t>
  </si>
  <si>
    <t xml:space="preserve">9.05%</t>
  </si>
  <si>
    <t xml:space="preserve">-5.0%</t>
  </si>
  <si>
    <t xml:space="preserve">Malaysian NCD structure incentivises claim-free driving. 55% max discount creates strong deterrent. International markets with lower max NCD show higher claim rates. Actuarial estimate.</t>
  </si>
  <si>
    <t xml:space="preserve">Driver age profile adjustment</t>
  </si>
  <si>
    <t xml:space="preserve">9.68%</t>
  </si>
  <si>
    <t xml:space="preserve">Malaysia EV buyer profile 2023: mean age 32 years (MITI survey 2024). Young driver penalty applied. International benchmarks reflect older average EV buyer age (~42 years per HLDI 2023).</t>
  </si>
  <si>
    <t xml:space="preserve">Battery chemistry mix</t>
  </si>
  <si>
    <t xml:space="preserve">9.00%</t>
  </si>
  <si>
    <t xml:space="preserve">-7.0%</t>
  </si>
  <si>
    <t xml:space="preserve">Malaysia fleet: 32% LFP (BYD), 45% NMC, 6% NCA (see EV_Battery_Data). LFP-heavy fleet vs USA/EU NCA-heavy. LFP lower severity outcome → downward adjustment per EV_Battery_Data risk ratings.</t>
  </si>
  <si>
    <t xml:space="preserve">Urban density adjustment</t>
  </si>
  <si>
    <t xml:space="preserve">9.45%</t>
  </si>
  <si>
    <t xml:space="preserve">+5.0%</t>
  </si>
  <si>
    <t xml:space="preserve">KL/Klang Valley urban density: 8,200 persons/km² vs London 5,700, Munich 4,700. Higher traffic density correlates with higher OD frequency. Malaysia urban concentration of EV ownership higher than benchmark countries.</t>
  </si>
  <si>
    <t xml:space="preserve">FINAL MALAYSIA EV CLAIM FREQUENCY ESTIMATE</t>
  </si>
  <si>
    <t xml:space="preserve">Product of all multipliers applied to international baseline:</t>
  </si>
  <si>
    <t xml:space="preserve">→  Use as prior mean for Beta(α,β)</t>
  </si>
  <si>
    <t xml:space="preserve">BAYESIAN PRIOR CALIBRATION (from this estimate)</t>
  </si>
  <si>
    <t xml:space="preserve">Estimated Malaysia frequency (θ)</t>
  </si>
  <si>
    <t xml:space="preserve">This is your prior mean for the Beta distribution</t>
  </si>
  <si>
    <t xml:space="preserve">Equivalent sample size (n_prior)</t>
  </si>
  <si>
    <t xml:space="preserve">Weight you assign to the international evidence (Week 4 default: 100 policy-years)</t>
  </si>
  <si>
    <t xml:space="preserve">Alpha (α = θ × n_prior)</t>
  </si>
  <si>
    <t xml:space="preserve">Prior parameter α for Beta(α, β) — use in Week 6 Bayesian model</t>
  </si>
  <si>
    <t xml:space="preserve">Beta (β = (1−θ) × n_prior)</t>
  </si>
  <si>
    <t xml:space="preserve">Prior parameter β for Beta(α, β) — use in Week 6 Bayesian model</t>
  </si>
  <si>
    <t xml:space="preserve">Prior CI lower (2.5%)</t>
  </si>
  <si>
    <t xml:space="preserve">95% credible interval lower bound</t>
  </si>
  <si>
    <t xml:space="preserve">Prior CI upper (97.5%)</t>
  </si>
  <si>
    <t xml:space="preserve">95% credible interval upper bound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</si>
</sst>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0.00%"/>
    <numFmt numFmtId="168" formatCode="0.0"/>
    <numFmt numFmtId="169" formatCode="0"/>
    <numFmt numFmtId="170" formatCode="0.00"/>
    <numFmt numFmtId="171" formatCode="0.00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8B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F3864"/>
      <name val="Arial"/>
      <family val="0"/>
      <charset val="1"/>
    </font>
    <font>
      <sz val="9"/>
      <color rgb="FFC55A11"/>
      <name val="Arial"/>
      <family val="0"/>
      <charset val="1"/>
    </font>
    <font>
      <sz val="9"/>
      <color rgb="FF8B1A1A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8B1A1A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6B8E23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8B1A1A"/>
      <name val="Arial"/>
      <family val="0"/>
      <charset val="1"/>
    </font>
    <font>
      <i val="true"/>
      <sz val="10"/>
      <color rgb="FF1F3864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8B1A1A"/>
        <bgColor rgb="FF800000"/>
      </patternFill>
    </fill>
    <fill>
      <patternFill patternType="solid">
        <fgColor rgb="FFDCE6F1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4E4"/>
      </patternFill>
    </fill>
    <fill>
      <patternFill patternType="solid">
        <fgColor rgb="FFFFF2CC"/>
        <bgColor rgb="FFFCE4D6"/>
      </patternFill>
    </fill>
    <fill>
      <patternFill patternType="solid">
        <fgColor rgb="FFFFE4E4"/>
        <bgColor rgb="FFFCE4D6"/>
      </patternFill>
    </fill>
    <fill>
      <patternFill patternType="solid">
        <fgColor rgb="FFFFFFFF"/>
        <bgColor rgb="FFFFF9F0"/>
      </patternFill>
    </fill>
    <fill>
      <patternFill patternType="solid">
        <fgColor rgb="FFF2F2F2"/>
        <bgColor rgb="FFF0F0F0"/>
      </patternFill>
    </fill>
    <fill>
      <patternFill patternType="solid">
        <fgColor rgb="FF0E7C86"/>
        <bgColor rgb="FF008080"/>
      </patternFill>
    </fill>
    <fill>
      <patternFill patternType="solid">
        <fgColor rgb="FFE8F5E9"/>
        <bgColor rgb="FFF0F0F0"/>
      </patternFill>
    </fill>
    <fill>
      <patternFill patternType="solid">
        <fgColor rgb="FFF3E5F5"/>
        <bgColor rgb="FFFFE4E4"/>
      </patternFill>
    </fill>
    <fill>
      <patternFill patternType="solid">
        <fgColor rgb="FFFFD7D7"/>
        <bgColor rgb="FFFCE4D6"/>
      </patternFill>
    </fill>
    <fill>
      <patternFill patternType="solid">
        <fgColor rgb="FFFFF9F0"/>
        <bgColor rgb="FFFFFFFF"/>
      </patternFill>
    </fill>
    <fill>
      <patternFill patternType="solid">
        <fgColor rgb="FFF0F0F0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09B2D"/>
      </left>
      <right style="thin">
        <color rgb="FFC09B2D"/>
      </right>
      <top style="thin">
        <color rgb="FFC09B2D"/>
      </top>
      <bottom style="thin">
        <color rgb="FFC09B2D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8B1A1A"/>
      </left>
      <right style="thin">
        <color rgb="FF8B1A1A"/>
      </right>
      <top style="thin">
        <color rgb="FF8B1A1A"/>
      </top>
      <bottom style="thin">
        <color rgb="FF8B1A1A"/>
      </bottom>
      <diagonal/>
    </border>
    <border diagonalUp="false" diagonalDown="false">
      <left style="thin">
        <color rgb="FF0E7C86"/>
      </left>
      <right style="thin">
        <color rgb="FF0E7C86"/>
      </right>
      <top style="thin">
        <color rgb="FF0E7C86"/>
      </top>
      <bottom style="thin">
        <color rgb="FF0E7C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1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1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27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8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27" fillId="7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8" fillId="7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27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8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9F0"/>
      <rgbColor rgb="FFFF00FF"/>
      <rgbColor rgb="FF00FFFF"/>
      <rgbColor rgb="FF800000"/>
      <rgbColor rgb="FF008000"/>
      <rgbColor rgb="FF000080"/>
      <rgbColor rgb="FF6B8E23"/>
      <rgbColor rgb="FF800080"/>
      <rgbColor rgb="FF0E7C86"/>
      <rgbColor rgb="FFBBBBBB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CE4D6"/>
      <rgbColor rgb="FFF0F0F0"/>
      <rgbColor rgb="FFFFE4E4"/>
      <rgbColor rgb="FFF2F2F2"/>
      <rgbColor rgb="FFFFD7D7"/>
      <rgbColor rgb="FF3366FF"/>
      <rgbColor rgb="FF33CCCC"/>
      <rgbColor rgb="FF99CC00"/>
      <rgbColor rgb="FFFFCC00"/>
      <rgbColor rgb="FFC09B2D"/>
      <rgbColor rgb="FFC55A11"/>
      <rgbColor rgb="FF555555"/>
      <rgbColor rgb="FF969696"/>
      <rgbColor rgb="FF1F3864"/>
      <rgbColor rgb="FF339966"/>
      <rgbColor rgb="FF003300"/>
      <rgbColor rgb="FF333300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5"/>
    <col collapsed="false" customWidth="true" hidden="false" outlineLevel="0" max="4" min="3" style="1" width="18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3.5" hidden="false" customHeight="true" outlineLevel="0" collapsed="false">
      <c r="A2" s="3" t="s">
        <v>1</v>
      </c>
      <c r="B2" s="3"/>
      <c r="C2" s="3"/>
      <c r="D2" s="3"/>
    </row>
    <row r="3" customFormat="false" ht="7.5" hidden="false" customHeight="true" outlineLevel="0" collapsed="false"/>
    <row r="4" customFormat="false" ht="30" hidden="false" customHeight="true" outlineLevel="0" collapsed="false">
      <c r="A4" s="4" t="s">
        <v>2</v>
      </c>
      <c r="B4" s="4"/>
      <c r="C4" s="4"/>
      <c r="D4" s="4"/>
    </row>
    <row r="6" customFormat="false" ht="1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</row>
    <row r="7" customFormat="false" ht="18" hidden="false" customHeight="true" outlineLevel="0" collapsed="false">
      <c r="A7" s="6" t="s">
        <v>7</v>
      </c>
      <c r="B7" s="7" t="s">
        <v>8</v>
      </c>
      <c r="C7" s="8" t="s">
        <v>9</v>
      </c>
      <c r="D7" s="9" t="s">
        <v>10</v>
      </c>
    </row>
    <row r="8" customFormat="false" ht="18" hidden="false" customHeight="true" outlineLevel="0" collapsed="false">
      <c r="A8" s="6" t="s">
        <v>11</v>
      </c>
      <c r="B8" s="7" t="s">
        <v>12</v>
      </c>
      <c r="C8" s="8" t="s">
        <v>9</v>
      </c>
      <c r="D8" s="9" t="s">
        <v>10</v>
      </c>
    </row>
    <row r="9" customFormat="false" ht="18" hidden="false" customHeight="true" outlineLevel="0" collapsed="false">
      <c r="A9" s="10" t="s">
        <v>13</v>
      </c>
      <c r="B9" s="11" t="s">
        <v>14</v>
      </c>
      <c r="C9" s="12" t="s">
        <v>15</v>
      </c>
      <c r="D9" s="13" t="s">
        <v>16</v>
      </c>
    </row>
    <row r="10" customFormat="false" ht="18" hidden="false" customHeight="true" outlineLevel="0" collapsed="false">
      <c r="A10" s="10" t="s">
        <v>17</v>
      </c>
      <c r="B10" s="11" t="s">
        <v>18</v>
      </c>
      <c r="C10" s="12" t="s">
        <v>15</v>
      </c>
      <c r="D10" s="13" t="s">
        <v>19</v>
      </c>
    </row>
    <row r="11" customFormat="false" ht="18" hidden="false" customHeight="true" outlineLevel="0" collapsed="false">
      <c r="A11" s="10" t="s">
        <v>20</v>
      </c>
      <c r="B11" s="11" t="s">
        <v>21</v>
      </c>
      <c r="C11" s="12" t="s">
        <v>15</v>
      </c>
      <c r="D11" s="13" t="s">
        <v>10</v>
      </c>
    </row>
    <row r="12" customFormat="false" ht="18" hidden="false" customHeight="true" outlineLevel="0" collapsed="false">
      <c r="A12" s="10" t="s">
        <v>22</v>
      </c>
      <c r="B12" s="11" t="s">
        <v>23</v>
      </c>
      <c r="C12" s="12" t="s">
        <v>15</v>
      </c>
      <c r="D12" s="13" t="s">
        <v>24</v>
      </c>
    </row>
    <row r="13" customFormat="false" ht="18" hidden="false" customHeight="true" outlineLevel="0" collapsed="false">
      <c r="A13" s="14" t="s">
        <v>25</v>
      </c>
      <c r="B13" s="15" t="s">
        <v>26</v>
      </c>
      <c r="C13" s="16" t="s">
        <v>27</v>
      </c>
      <c r="D13" s="17" t="s">
        <v>28</v>
      </c>
    </row>
    <row r="14" customFormat="false" ht="18" hidden="false" customHeight="true" outlineLevel="0" collapsed="false">
      <c r="A14" s="14" t="s">
        <v>29</v>
      </c>
      <c r="B14" s="15" t="s">
        <v>30</v>
      </c>
      <c r="C14" s="16" t="s">
        <v>27</v>
      </c>
      <c r="D14" s="17" t="s">
        <v>31</v>
      </c>
    </row>
    <row r="15" customFormat="false" ht="18" hidden="false" customHeight="true" outlineLevel="0" collapsed="false">
      <c r="A15" s="14" t="s">
        <v>32</v>
      </c>
      <c r="B15" s="15" t="s">
        <v>33</v>
      </c>
      <c r="C15" s="16" t="s">
        <v>27</v>
      </c>
      <c r="D15" s="17" t="s">
        <v>34</v>
      </c>
    </row>
    <row r="16" customFormat="false" ht="18" hidden="false" customHeight="true" outlineLevel="0" collapsed="false">
      <c r="A16" s="14" t="s">
        <v>35</v>
      </c>
      <c r="B16" s="15" t="s">
        <v>36</v>
      </c>
      <c r="C16" s="16" t="s">
        <v>27</v>
      </c>
      <c r="D16" s="17" t="s">
        <v>16</v>
      </c>
    </row>
    <row r="17" customFormat="false" ht="18" hidden="false" customHeight="true" outlineLevel="0" collapsed="false">
      <c r="A17" s="14" t="s">
        <v>37</v>
      </c>
      <c r="B17" s="15" t="s">
        <v>38</v>
      </c>
      <c r="C17" s="16" t="s">
        <v>27</v>
      </c>
      <c r="D17" s="17" t="s">
        <v>39</v>
      </c>
    </row>
    <row r="19" customFormat="false" ht="15" hidden="false" customHeight="true" outlineLevel="0" collapsed="false">
      <c r="A19" s="18" t="s">
        <v>40</v>
      </c>
      <c r="B19" s="18"/>
      <c r="C19" s="18"/>
      <c r="D19" s="18"/>
    </row>
    <row r="20" customFormat="false" ht="15.75" hidden="false" customHeight="true" outlineLevel="0" collapsed="false">
      <c r="A20" s="19" t="s">
        <v>41</v>
      </c>
      <c r="B20" s="19"/>
      <c r="C20" s="19"/>
      <c r="D20" s="19"/>
    </row>
    <row r="21" customFormat="false" ht="15.75" hidden="false" customHeight="true" outlineLevel="0" collapsed="false">
      <c r="A21" s="19" t="s">
        <v>42</v>
      </c>
      <c r="B21" s="19"/>
      <c r="C21" s="19"/>
      <c r="D21" s="19"/>
    </row>
    <row r="22" customFormat="false" ht="15.75" hidden="false" customHeight="true" outlineLevel="0" collapsed="false">
      <c r="A22" s="19" t="s">
        <v>43</v>
      </c>
      <c r="B22" s="19"/>
      <c r="C22" s="19"/>
      <c r="D22" s="19"/>
    </row>
    <row r="23" customFormat="false" ht="15.75" hidden="false" customHeight="true" outlineLevel="0" collapsed="false">
      <c r="A23" s="19" t="s">
        <v>44</v>
      </c>
      <c r="B23" s="19"/>
      <c r="C23" s="19"/>
      <c r="D23" s="19"/>
    </row>
    <row r="24" customFormat="false" ht="15.75" hidden="false" customHeight="true" outlineLevel="0" collapsed="false">
      <c r="A24" s="19" t="s">
        <v>45</v>
      </c>
      <c r="B24" s="19"/>
      <c r="C24" s="19"/>
      <c r="D24" s="19"/>
    </row>
    <row r="25" customFormat="false" ht="15.75" hidden="false" customHeight="true" outlineLevel="0" collapsed="false">
      <c r="A25" s="19" t="s">
        <v>46</v>
      </c>
      <c r="B25" s="19"/>
      <c r="C25" s="19"/>
      <c r="D25" s="19"/>
    </row>
    <row r="26" customFormat="false" ht="15.75" hidden="false" customHeight="true" outlineLevel="0" collapsed="false">
      <c r="A26" s="19" t="s">
        <v>47</v>
      </c>
      <c r="B26" s="19"/>
      <c r="C26" s="19"/>
      <c r="D26" s="19"/>
    </row>
    <row r="27" customFormat="false" ht="15.75" hidden="false" customHeight="true" outlineLevel="0" collapsed="false">
      <c r="A27" s="19" t="s">
        <v>48</v>
      </c>
      <c r="B27" s="19"/>
      <c r="C27" s="19"/>
      <c r="D27" s="19"/>
    </row>
    <row r="28" customFormat="false" ht="15.75" hidden="false" customHeight="true" outlineLevel="0" collapsed="false">
      <c r="A28" s="19" t="s">
        <v>49</v>
      </c>
      <c r="B28" s="19"/>
      <c r="C28" s="19"/>
      <c r="D28" s="19"/>
    </row>
  </sheetData>
  <mergeCells count="13">
    <mergeCell ref="A1:D1"/>
    <mergeCell ref="A2:D2"/>
    <mergeCell ref="A4:D4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45"/>
    <col collapsed="false" customWidth="true" hidden="false" outlineLevel="0" max="5" min="5" style="1" width="20"/>
  </cols>
  <sheetData>
    <row r="1" customFormat="false" ht="25.5" hidden="false" customHeight="true" outlineLevel="0" collapsed="false">
      <c r="A1" s="20" t="s">
        <v>50</v>
      </c>
      <c r="B1" s="20"/>
      <c r="C1" s="20"/>
      <c r="D1" s="20"/>
      <c r="E1" s="20"/>
    </row>
    <row r="2" customFormat="false" ht="13.5" hidden="false" customHeight="true" outlineLevel="0" collapsed="false">
      <c r="A2" s="3" t="s">
        <v>51</v>
      </c>
      <c r="B2" s="3"/>
      <c r="C2" s="3"/>
      <c r="D2" s="3"/>
      <c r="E2" s="3"/>
    </row>
    <row r="3" customFormat="false" ht="19.5" hidden="false" customHeight="true" outlineLevel="0" collapsed="false">
      <c r="A3" s="21" t="s">
        <v>52</v>
      </c>
      <c r="B3" s="21" t="s">
        <v>53</v>
      </c>
      <c r="C3" s="21" t="s">
        <v>54</v>
      </c>
      <c r="D3" s="21" t="s">
        <v>55</v>
      </c>
      <c r="E3" s="21" t="s">
        <v>56</v>
      </c>
    </row>
    <row r="4" customFormat="false" ht="19.5" hidden="false" customHeight="true" outlineLevel="0" collapsed="false">
      <c r="A4" s="22" t="s">
        <v>13</v>
      </c>
      <c r="B4" s="23" t="s">
        <v>57</v>
      </c>
      <c r="C4" s="24" t="s">
        <v>58</v>
      </c>
      <c r="D4" s="25" t="s">
        <v>59</v>
      </c>
      <c r="E4" s="24" t="s">
        <v>60</v>
      </c>
    </row>
    <row r="5" customFormat="false" ht="19.5" hidden="false" customHeight="true" outlineLevel="0" collapsed="false">
      <c r="A5" s="22" t="s">
        <v>13</v>
      </c>
      <c r="B5" s="23" t="s">
        <v>61</v>
      </c>
      <c r="C5" s="24" t="s">
        <v>62</v>
      </c>
      <c r="D5" s="25" t="s">
        <v>63</v>
      </c>
      <c r="E5" s="24" t="s">
        <v>64</v>
      </c>
    </row>
    <row r="6" customFormat="false" ht="19.5" hidden="false" customHeight="true" outlineLevel="0" collapsed="false">
      <c r="A6" s="22" t="s">
        <v>13</v>
      </c>
      <c r="B6" s="23" t="s">
        <v>65</v>
      </c>
      <c r="C6" s="24" t="s">
        <v>58</v>
      </c>
      <c r="D6" s="25" t="s">
        <v>66</v>
      </c>
      <c r="E6" s="24" t="s">
        <v>67</v>
      </c>
    </row>
    <row r="7" customFormat="false" ht="19.5" hidden="false" customHeight="true" outlineLevel="0" collapsed="false">
      <c r="A7" s="22" t="s">
        <v>13</v>
      </c>
      <c r="B7" s="23" t="s">
        <v>68</v>
      </c>
      <c r="C7" s="24" t="s">
        <v>58</v>
      </c>
      <c r="D7" s="25" t="s">
        <v>69</v>
      </c>
      <c r="E7" s="24" t="s">
        <v>70</v>
      </c>
    </row>
    <row r="8" customFormat="false" ht="19.5" hidden="false" customHeight="true" outlineLevel="0" collapsed="false">
      <c r="A8" s="22" t="s">
        <v>13</v>
      </c>
      <c r="B8" s="23" t="s">
        <v>71</v>
      </c>
      <c r="C8" s="24" t="s">
        <v>58</v>
      </c>
      <c r="D8" s="25" t="s">
        <v>72</v>
      </c>
      <c r="E8" s="24" t="s">
        <v>73</v>
      </c>
    </row>
    <row r="9" customFormat="false" ht="19.5" hidden="false" customHeight="true" outlineLevel="0" collapsed="false">
      <c r="A9" s="22" t="s">
        <v>13</v>
      </c>
      <c r="B9" s="23" t="s">
        <v>74</v>
      </c>
      <c r="C9" s="24" t="s">
        <v>58</v>
      </c>
      <c r="D9" s="25" t="s">
        <v>75</v>
      </c>
      <c r="E9" s="24" t="s">
        <v>76</v>
      </c>
    </row>
    <row r="10" customFormat="false" ht="19.5" hidden="false" customHeight="true" outlineLevel="0" collapsed="false">
      <c r="A10" s="22" t="s">
        <v>13</v>
      </c>
      <c r="B10" s="23" t="s">
        <v>77</v>
      </c>
      <c r="C10" s="24" t="s">
        <v>58</v>
      </c>
      <c r="D10" s="25" t="s">
        <v>78</v>
      </c>
      <c r="E10" s="24" t="s">
        <v>79</v>
      </c>
    </row>
    <row r="11" customFormat="false" ht="19.5" hidden="false" customHeight="true" outlineLevel="0" collapsed="false">
      <c r="A11" s="22" t="s">
        <v>13</v>
      </c>
      <c r="B11" s="23" t="s">
        <v>80</v>
      </c>
      <c r="C11" s="24" t="s">
        <v>62</v>
      </c>
      <c r="D11" s="25" t="s">
        <v>81</v>
      </c>
      <c r="E11" s="24" t="s">
        <v>82</v>
      </c>
    </row>
    <row r="12" customFormat="false" ht="19.5" hidden="false" customHeight="true" outlineLevel="0" collapsed="false">
      <c r="A12" s="22" t="s">
        <v>13</v>
      </c>
      <c r="B12" s="23" t="s">
        <v>83</v>
      </c>
      <c r="C12" s="24" t="s">
        <v>62</v>
      </c>
      <c r="D12" s="25" t="s">
        <v>84</v>
      </c>
      <c r="E12" s="24" t="s">
        <v>85</v>
      </c>
    </row>
    <row r="13" customFormat="false" ht="19.5" hidden="false" customHeight="true" outlineLevel="0" collapsed="false">
      <c r="A13" s="22" t="s">
        <v>13</v>
      </c>
      <c r="B13" s="23" t="s">
        <v>86</v>
      </c>
      <c r="C13" s="24" t="s">
        <v>62</v>
      </c>
      <c r="D13" s="25" t="s">
        <v>87</v>
      </c>
      <c r="E13" s="24" t="s">
        <v>88</v>
      </c>
    </row>
    <row r="14" customFormat="false" ht="19.5" hidden="false" customHeight="true" outlineLevel="0" collapsed="false">
      <c r="A14" s="22" t="s">
        <v>13</v>
      </c>
      <c r="B14" s="23" t="s">
        <v>89</v>
      </c>
      <c r="C14" s="24" t="s">
        <v>90</v>
      </c>
      <c r="D14" s="25" t="s">
        <v>91</v>
      </c>
      <c r="E14" s="24" t="s">
        <v>92</v>
      </c>
    </row>
    <row r="15" customFormat="false" ht="19.5" hidden="false" customHeight="true" outlineLevel="0" collapsed="false">
      <c r="A15" s="22" t="s">
        <v>13</v>
      </c>
      <c r="B15" s="23" t="s">
        <v>93</v>
      </c>
      <c r="C15" s="24" t="s">
        <v>58</v>
      </c>
      <c r="D15" s="25" t="s">
        <v>94</v>
      </c>
      <c r="E15" s="24" t="s">
        <v>95</v>
      </c>
    </row>
    <row r="16" customFormat="false" ht="19.5" hidden="false" customHeight="true" outlineLevel="0" collapsed="false">
      <c r="A16" s="22" t="s">
        <v>13</v>
      </c>
      <c r="B16" s="23" t="s">
        <v>96</v>
      </c>
      <c r="C16" s="24" t="s">
        <v>97</v>
      </c>
      <c r="D16" s="25" t="s">
        <v>98</v>
      </c>
      <c r="E16" s="24" t="s">
        <v>99</v>
      </c>
    </row>
    <row r="17" customFormat="false" ht="19.5" hidden="false" customHeight="true" outlineLevel="0" collapsed="false">
      <c r="A17" s="22" t="s">
        <v>13</v>
      </c>
      <c r="B17" s="23" t="s">
        <v>100</v>
      </c>
      <c r="C17" s="24" t="s">
        <v>62</v>
      </c>
      <c r="D17" s="25" t="s">
        <v>101</v>
      </c>
      <c r="E17" s="24" t="s">
        <v>102</v>
      </c>
    </row>
    <row r="18" customFormat="false" ht="19.5" hidden="false" customHeight="true" outlineLevel="0" collapsed="false">
      <c r="A18" s="22" t="s">
        <v>13</v>
      </c>
      <c r="B18" s="23" t="s">
        <v>103</v>
      </c>
      <c r="C18" s="24" t="s">
        <v>58</v>
      </c>
      <c r="D18" s="25" t="s">
        <v>104</v>
      </c>
      <c r="E18" s="24" t="s">
        <v>105</v>
      </c>
    </row>
    <row r="19" customFormat="false" ht="19.5" hidden="false" customHeight="true" outlineLevel="0" collapsed="false">
      <c r="A19" s="22" t="s">
        <v>13</v>
      </c>
      <c r="B19" s="23" t="s">
        <v>106</v>
      </c>
      <c r="C19" s="24" t="s">
        <v>90</v>
      </c>
      <c r="D19" s="25" t="s">
        <v>107</v>
      </c>
      <c r="E19" s="24" t="s">
        <v>108</v>
      </c>
    </row>
    <row r="20" customFormat="false" ht="19.5" hidden="false" customHeight="true" outlineLevel="0" collapsed="false">
      <c r="A20" s="22" t="s">
        <v>13</v>
      </c>
      <c r="B20" s="23" t="s">
        <v>109</v>
      </c>
      <c r="C20" s="24" t="s">
        <v>90</v>
      </c>
      <c r="D20" s="25" t="s">
        <v>110</v>
      </c>
      <c r="E20" s="24" t="s">
        <v>111</v>
      </c>
    </row>
    <row r="21" customFormat="false" ht="19.5" hidden="false" customHeight="true" outlineLevel="0" collapsed="false">
      <c r="A21" s="22" t="s">
        <v>13</v>
      </c>
      <c r="B21" s="23" t="s">
        <v>112</v>
      </c>
      <c r="C21" s="24" t="s">
        <v>97</v>
      </c>
      <c r="D21" s="25" t="s">
        <v>113</v>
      </c>
      <c r="E21" s="24" t="s">
        <v>114</v>
      </c>
    </row>
    <row r="22" customFormat="false" ht="19.5" hidden="false" customHeight="true" outlineLevel="0" collapsed="false">
      <c r="A22" s="22" t="s">
        <v>13</v>
      </c>
      <c r="B22" s="23" t="s">
        <v>115</v>
      </c>
      <c r="C22" s="24" t="s">
        <v>90</v>
      </c>
      <c r="D22" s="25" t="s">
        <v>116</v>
      </c>
      <c r="E22" s="24" t="s">
        <v>117</v>
      </c>
    </row>
    <row r="23" customFormat="false" ht="19.5" hidden="false" customHeight="true" outlineLevel="0" collapsed="false">
      <c r="A23" s="22" t="s">
        <v>13</v>
      </c>
      <c r="B23" s="23" t="s">
        <v>118</v>
      </c>
      <c r="C23" s="24" t="s">
        <v>90</v>
      </c>
      <c r="D23" s="25" t="s">
        <v>119</v>
      </c>
      <c r="E23" s="24" t="s">
        <v>120</v>
      </c>
    </row>
    <row r="24" customFormat="false" ht="19.5" hidden="false" customHeight="true" outlineLevel="0" collapsed="false">
      <c r="A24" s="22" t="s">
        <v>13</v>
      </c>
      <c r="B24" s="23" t="s">
        <v>121</v>
      </c>
      <c r="C24" s="24" t="s">
        <v>122</v>
      </c>
      <c r="D24" s="25" t="s">
        <v>123</v>
      </c>
      <c r="E24" s="24" t="s">
        <v>124</v>
      </c>
    </row>
    <row r="25" customFormat="false" ht="19.5" hidden="false" customHeight="true" outlineLevel="0" collapsed="false">
      <c r="A25" s="22" t="s">
        <v>13</v>
      </c>
      <c r="B25" s="23" t="s">
        <v>125</v>
      </c>
      <c r="C25" s="24" t="s">
        <v>62</v>
      </c>
      <c r="D25" s="25" t="s">
        <v>126</v>
      </c>
      <c r="E25" s="24" t="s">
        <v>127</v>
      </c>
    </row>
    <row r="26" customFormat="false" ht="19.5" hidden="false" customHeight="true" outlineLevel="0" collapsed="false">
      <c r="A26" s="22" t="s">
        <v>17</v>
      </c>
      <c r="B26" s="23" t="s">
        <v>128</v>
      </c>
      <c r="C26" s="24" t="s">
        <v>58</v>
      </c>
      <c r="D26" s="25" t="s">
        <v>129</v>
      </c>
      <c r="E26" s="24" t="s">
        <v>130</v>
      </c>
    </row>
    <row r="27" customFormat="false" ht="19.5" hidden="false" customHeight="true" outlineLevel="0" collapsed="false">
      <c r="A27" s="22" t="s">
        <v>17</v>
      </c>
      <c r="B27" s="23" t="s">
        <v>57</v>
      </c>
      <c r="C27" s="24" t="s">
        <v>58</v>
      </c>
      <c r="D27" s="25" t="s">
        <v>131</v>
      </c>
      <c r="E27" s="24" t="s">
        <v>132</v>
      </c>
    </row>
    <row r="28" customFormat="false" ht="19.5" hidden="false" customHeight="true" outlineLevel="0" collapsed="false">
      <c r="A28" s="22" t="s">
        <v>17</v>
      </c>
      <c r="B28" s="23" t="s">
        <v>133</v>
      </c>
      <c r="C28" s="24" t="s">
        <v>58</v>
      </c>
      <c r="D28" s="25" t="s">
        <v>134</v>
      </c>
      <c r="E28" s="24" t="s">
        <v>135</v>
      </c>
    </row>
    <row r="29" customFormat="false" ht="19.5" hidden="false" customHeight="true" outlineLevel="0" collapsed="false">
      <c r="A29" s="22" t="s">
        <v>17</v>
      </c>
      <c r="B29" s="23" t="s">
        <v>136</v>
      </c>
      <c r="C29" s="24" t="s">
        <v>58</v>
      </c>
      <c r="D29" s="25" t="s">
        <v>137</v>
      </c>
      <c r="E29" s="24" t="s">
        <v>138</v>
      </c>
    </row>
    <row r="30" customFormat="false" ht="19.5" hidden="false" customHeight="true" outlineLevel="0" collapsed="false">
      <c r="A30" s="22" t="s">
        <v>17</v>
      </c>
      <c r="B30" s="23" t="s">
        <v>139</v>
      </c>
      <c r="C30" s="24" t="s">
        <v>90</v>
      </c>
      <c r="D30" s="25" t="s">
        <v>140</v>
      </c>
      <c r="E30" s="24" t="s">
        <v>141</v>
      </c>
    </row>
    <row r="31" customFormat="false" ht="19.5" hidden="false" customHeight="true" outlineLevel="0" collapsed="false">
      <c r="A31" s="22" t="s">
        <v>17</v>
      </c>
      <c r="B31" s="23" t="s">
        <v>142</v>
      </c>
      <c r="C31" s="24" t="s">
        <v>90</v>
      </c>
      <c r="D31" s="25" t="s">
        <v>143</v>
      </c>
      <c r="E31" s="24" t="s">
        <v>144</v>
      </c>
    </row>
    <row r="32" customFormat="false" ht="19.5" hidden="false" customHeight="true" outlineLevel="0" collapsed="false">
      <c r="A32" s="22" t="s">
        <v>17</v>
      </c>
      <c r="B32" s="23" t="s">
        <v>145</v>
      </c>
      <c r="C32" s="24" t="s">
        <v>90</v>
      </c>
      <c r="D32" s="25" t="s">
        <v>146</v>
      </c>
      <c r="E32" s="24" t="s">
        <v>147</v>
      </c>
    </row>
    <row r="33" customFormat="false" ht="19.5" hidden="false" customHeight="true" outlineLevel="0" collapsed="false">
      <c r="A33" s="22" t="s">
        <v>17</v>
      </c>
      <c r="B33" s="23" t="s">
        <v>148</v>
      </c>
      <c r="C33" s="24" t="s">
        <v>58</v>
      </c>
      <c r="D33" s="25" t="s">
        <v>149</v>
      </c>
      <c r="E33" s="24" t="s">
        <v>150</v>
      </c>
    </row>
    <row r="34" customFormat="false" ht="19.5" hidden="false" customHeight="true" outlineLevel="0" collapsed="false">
      <c r="A34" s="22" t="s">
        <v>17</v>
      </c>
      <c r="B34" s="23" t="s">
        <v>151</v>
      </c>
      <c r="C34" s="24" t="s">
        <v>62</v>
      </c>
      <c r="D34" s="25" t="s">
        <v>152</v>
      </c>
      <c r="E34" s="24" t="s">
        <v>153</v>
      </c>
    </row>
    <row r="35" customFormat="false" ht="19.5" hidden="false" customHeight="true" outlineLevel="0" collapsed="false">
      <c r="A35" s="22" t="s">
        <v>17</v>
      </c>
      <c r="B35" s="23" t="s">
        <v>154</v>
      </c>
      <c r="C35" s="24" t="s">
        <v>62</v>
      </c>
      <c r="D35" s="25" t="s">
        <v>155</v>
      </c>
      <c r="E35" s="24" t="s">
        <v>156</v>
      </c>
    </row>
    <row r="36" customFormat="false" ht="19.5" hidden="false" customHeight="true" outlineLevel="0" collapsed="false">
      <c r="A36" s="26" t="s">
        <v>25</v>
      </c>
      <c r="B36" s="27" t="s">
        <v>157</v>
      </c>
      <c r="C36" s="28" t="s">
        <v>58</v>
      </c>
      <c r="D36" s="29" t="s">
        <v>158</v>
      </c>
      <c r="E36" s="28" t="s">
        <v>159</v>
      </c>
    </row>
    <row r="37" customFormat="false" ht="19.5" hidden="false" customHeight="true" outlineLevel="0" collapsed="false">
      <c r="A37" s="26" t="s">
        <v>25</v>
      </c>
      <c r="B37" s="27" t="s">
        <v>160</v>
      </c>
      <c r="C37" s="28" t="s">
        <v>62</v>
      </c>
      <c r="D37" s="29" t="s">
        <v>161</v>
      </c>
      <c r="E37" s="28" t="s">
        <v>162</v>
      </c>
    </row>
    <row r="38" customFormat="false" ht="19.5" hidden="false" customHeight="true" outlineLevel="0" collapsed="false">
      <c r="A38" s="26" t="s">
        <v>25</v>
      </c>
      <c r="B38" s="27" t="s">
        <v>163</v>
      </c>
      <c r="C38" s="28" t="s">
        <v>97</v>
      </c>
      <c r="D38" s="29" t="s">
        <v>164</v>
      </c>
      <c r="E38" s="28" t="s">
        <v>165</v>
      </c>
    </row>
    <row r="39" customFormat="false" ht="19.5" hidden="false" customHeight="true" outlineLevel="0" collapsed="false">
      <c r="A39" s="26" t="s">
        <v>25</v>
      </c>
      <c r="B39" s="27" t="s">
        <v>166</v>
      </c>
      <c r="C39" s="28" t="s">
        <v>97</v>
      </c>
      <c r="D39" s="29" t="s">
        <v>167</v>
      </c>
      <c r="E39" s="28" t="s">
        <v>168</v>
      </c>
    </row>
    <row r="40" customFormat="false" ht="19.5" hidden="false" customHeight="true" outlineLevel="0" collapsed="false">
      <c r="A40" s="26" t="s">
        <v>25</v>
      </c>
      <c r="B40" s="27" t="s">
        <v>169</v>
      </c>
      <c r="C40" s="28" t="s">
        <v>97</v>
      </c>
      <c r="D40" s="29" t="s">
        <v>170</v>
      </c>
      <c r="E40" s="28" t="s">
        <v>171</v>
      </c>
    </row>
    <row r="41" customFormat="false" ht="19.5" hidden="false" customHeight="true" outlineLevel="0" collapsed="false">
      <c r="A41" s="26" t="s">
        <v>25</v>
      </c>
      <c r="B41" s="27" t="s">
        <v>172</v>
      </c>
      <c r="C41" s="28" t="s">
        <v>90</v>
      </c>
      <c r="D41" s="29" t="s">
        <v>173</v>
      </c>
      <c r="E41" s="28" t="s">
        <v>174</v>
      </c>
    </row>
    <row r="42" customFormat="false" ht="19.5" hidden="false" customHeight="true" outlineLevel="0" collapsed="false">
      <c r="A42" s="26" t="s">
        <v>25</v>
      </c>
      <c r="B42" s="27" t="s">
        <v>175</v>
      </c>
      <c r="C42" s="28" t="s">
        <v>90</v>
      </c>
      <c r="D42" s="29" t="s">
        <v>176</v>
      </c>
      <c r="E42" s="28" t="s">
        <v>177</v>
      </c>
    </row>
    <row r="43" customFormat="false" ht="19.5" hidden="false" customHeight="true" outlineLevel="0" collapsed="false">
      <c r="A43" s="26" t="s">
        <v>25</v>
      </c>
      <c r="B43" s="27" t="s">
        <v>178</v>
      </c>
      <c r="C43" s="28" t="s">
        <v>97</v>
      </c>
      <c r="D43" s="29" t="s">
        <v>179</v>
      </c>
      <c r="E43" s="28" t="s">
        <v>180</v>
      </c>
    </row>
    <row r="44" customFormat="false" ht="19.5" hidden="false" customHeight="true" outlineLevel="0" collapsed="false">
      <c r="A44" s="26" t="s">
        <v>25</v>
      </c>
      <c r="B44" s="27" t="s">
        <v>181</v>
      </c>
      <c r="C44" s="28" t="s">
        <v>62</v>
      </c>
      <c r="D44" s="29" t="s">
        <v>182</v>
      </c>
      <c r="E44" s="28" t="s">
        <v>183</v>
      </c>
    </row>
    <row r="45" customFormat="false" ht="19.5" hidden="false" customHeight="true" outlineLevel="0" collapsed="false">
      <c r="A45" s="26" t="s">
        <v>25</v>
      </c>
      <c r="B45" s="27" t="s">
        <v>184</v>
      </c>
      <c r="C45" s="28" t="s">
        <v>58</v>
      </c>
      <c r="D45" s="29" t="s">
        <v>185</v>
      </c>
      <c r="E45" s="28" t="s">
        <v>186</v>
      </c>
    </row>
    <row r="46" customFormat="false" ht="19.5" hidden="false" customHeight="true" outlineLevel="0" collapsed="false">
      <c r="A46" s="26" t="s">
        <v>29</v>
      </c>
      <c r="B46" s="27" t="s">
        <v>187</v>
      </c>
      <c r="C46" s="28" t="s">
        <v>58</v>
      </c>
      <c r="D46" s="29" t="s">
        <v>188</v>
      </c>
      <c r="E46" s="28" t="s">
        <v>189</v>
      </c>
    </row>
    <row r="47" customFormat="false" ht="19.5" hidden="false" customHeight="true" outlineLevel="0" collapsed="false">
      <c r="A47" s="26" t="s">
        <v>29</v>
      </c>
      <c r="B47" s="27" t="s">
        <v>190</v>
      </c>
      <c r="C47" s="28" t="s">
        <v>62</v>
      </c>
      <c r="D47" s="29" t="s">
        <v>191</v>
      </c>
      <c r="E47" s="28" t="s">
        <v>192</v>
      </c>
    </row>
    <row r="48" customFormat="false" ht="19.5" hidden="false" customHeight="true" outlineLevel="0" collapsed="false">
      <c r="A48" s="26" t="s">
        <v>29</v>
      </c>
      <c r="B48" s="27" t="s">
        <v>193</v>
      </c>
      <c r="C48" s="28" t="s">
        <v>62</v>
      </c>
      <c r="D48" s="29" t="s">
        <v>194</v>
      </c>
      <c r="E48" s="28" t="s">
        <v>195</v>
      </c>
    </row>
    <row r="49" customFormat="false" ht="19.5" hidden="false" customHeight="true" outlineLevel="0" collapsed="false">
      <c r="A49" s="26" t="s">
        <v>29</v>
      </c>
      <c r="B49" s="27" t="s">
        <v>196</v>
      </c>
      <c r="C49" s="28" t="s">
        <v>97</v>
      </c>
      <c r="D49" s="29" t="s">
        <v>197</v>
      </c>
      <c r="E49" s="28" t="s">
        <v>198</v>
      </c>
    </row>
    <row r="50" customFormat="false" ht="19.5" hidden="false" customHeight="true" outlineLevel="0" collapsed="false">
      <c r="A50" s="26" t="s">
        <v>29</v>
      </c>
      <c r="B50" s="27" t="s">
        <v>199</v>
      </c>
      <c r="C50" s="28" t="s">
        <v>58</v>
      </c>
      <c r="D50" s="29" t="s">
        <v>200</v>
      </c>
      <c r="E50" s="28" t="s">
        <v>201</v>
      </c>
    </row>
    <row r="51" customFormat="false" ht="19.5" hidden="false" customHeight="true" outlineLevel="0" collapsed="false">
      <c r="A51" s="26" t="s">
        <v>29</v>
      </c>
      <c r="B51" s="27" t="s">
        <v>202</v>
      </c>
      <c r="C51" s="28" t="s">
        <v>58</v>
      </c>
      <c r="D51" s="29" t="s">
        <v>203</v>
      </c>
      <c r="E51" s="28" t="s">
        <v>204</v>
      </c>
    </row>
    <row r="52" customFormat="false" ht="19.5" hidden="false" customHeight="true" outlineLevel="0" collapsed="false">
      <c r="A52" s="26" t="s">
        <v>32</v>
      </c>
      <c r="B52" s="27" t="s">
        <v>205</v>
      </c>
      <c r="C52" s="28" t="s">
        <v>58</v>
      </c>
      <c r="D52" s="29" t="s">
        <v>75</v>
      </c>
      <c r="E52" s="28" t="s">
        <v>206</v>
      </c>
    </row>
    <row r="53" customFormat="false" ht="19.5" hidden="false" customHeight="true" outlineLevel="0" collapsed="false">
      <c r="A53" s="26" t="s">
        <v>32</v>
      </c>
      <c r="B53" s="27" t="s">
        <v>207</v>
      </c>
      <c r="C53" s="28" t="s">
        <v>58</v>
      </c>
      <c r="D53" s="29" t="s">
        <v>78</v>
      </c>
      <c r="E53" s="28" t="s">
        <v>208</v>
      </c>
    </row>
    <row r="54" customFormat="false" ht="19.5" hidden="false" customHeight="true" outlineLevel="0" collapsed="false">
      <c r="A54" s="26" t="s">
        <v>32</v>
      </c>
      <c r="B54" s="27" t="s">
        <v>209</v>
      </c>
      <c r="C54" s="28" t="s">
        <v>58</v>
      </c>
      <c r="D54" s="29" t="s">
        <v>210</v>
      </c>
      <c r="E54" s="28" t="s">
        <v>211</v>
      </c>
    </row>
    <row r="55" customFormat="false" ht="19.5" hidden="false" customHeight="true" outlineLevel="0" collapsed="false">
      <c r="A55" s="26" t="s">
        <v>32</v>
      </c>
      <c r="B55" s="27" t="s">
        <v>212</v>
      </c>
      <c r="C55" s="28" t="s">
        <v>97</v>
      </c>
      <c r="D55" s="29" t="s">
        <v>213</v>
      </c>
      <c r="E55" s="28" t="s">
        <v>214</v>
      </c>
    </row>
    <row r="56" customFormat="false" ht="19.5" hidden="false" customHeight="true" outlineLevel="0" collapsed="false">
      <c r="A56" s="26" t="s">
        <v>32</v>
      </c>
      <c r="B56" s="27" t="s">
        <v>215</v>
      </c>
      <c r="C56" s="28" t="s">
        <v>62</v>
      </c>
      <c r="D56" s="29" t="s">
        <v>216</v>
      </c>
      <c r="E56" s="28" t="s">
        <v>217</v>
      </c>
    </row>
    <row r="57" customFormat="false" ht="19.5" hidden="false" customHeight="true" outlineLevel="0" collapsed="false">
      <c r="A57" s="26" t="s">
        <v>32</v>
      </c>
      <c r="B57" s="27" t="s">
        <v>218</v>
      </c>
      <c r="C57" s="28" t="s">
        <v>90</v>
      </c>
      <c r="D57" s="29" t="s">
        <v>219</v>
      </c>
      <c r="E57" s="28" t="s">
        <v>220</v>
      </c>
    </row>
    <row r="58" customFormat="false" ht="19.5" hidden="false" customHeight="true" outlineLevel="0" collapsed="false">
      <c r="A58" s="26" t="s">
        <v>32</v>
      </c>
      <c r="B58" s="27" t="s">
        <v>221</v>
      </c>
      <c r="C58" s="28" t="s">
        <v>90</v>
      </c>
      <c r="D58" s="29" t="s">
        <v>222</v>
      </c>
      <c r="E58" s="28" t="s">
        <v>223</v>
      </c>
    </row>
    <row r="59" customFormat="false" ht="19.5" hidden="false" customHeight="true" outlineLevel="0" collapsed="false">
      <c r="A59" s="26" t="s">
        <v>32</v>
      </c>
      <c r="B59" s="27" t="s">
        <v>224</v>
      </c>
      <c r="C59" s="28" t="s">
        <v>62</v>
      </c>
      <c r="D59" s="29" t="s">
        <v>225</v>
      </c>
      <c r="E59" s="28" t="s">
        <v>226</v>
      </c>
    </row>
    <row r="60" customFormat="false" ht="19.5" hidden="false" customHeight="true" outlineLevel="0" collapsed="false">
      <c r="A60" s="26" t="s">
        <v>35</v>
      </c>
      <c r="B60" s="27" t="s">
        <v>227</v>
      </c>
      <c r="C60" s="28" t="s">
        <v>58</v>
      </c>
      <c r="D60" s="29" t="s">
        <v>228</v>
      </c>
      <c r="E60" s="28" t="s">
        <v>229</v>
      </c>
    </row>
    <row r="61" customFormat="false" ht="19.5" hidden="false" customHeight="true" outlineLevel="0" collapsed="false">
      <c r="A61" s="26" t="s">
        <v>35</v>
      </c>
      <c r="B61" s="27" t="s">
        <v>205</v>
      </c>
      <c r="C61" s="28" t="s">
        <v>58</v>
      </c>
      <c r="D61" s="29" t="s">
        <v>75</v>
      </c>
      <c r="E61" s="28" t="s">
        <v>230</v>
      </c>
    </row>
    <row r="62" customFormat="false" ht="19.5" hidden="false" customHeight="true" outlineLevel="0" collapsed="false">
      <c r="A62" s="26" t="s">
        <v>35</v>
      </c>
      <c r="B62" s="27" t="s">
        <v>209</v>
      </c>
      <c r="C62" s="28" t="s">
        <v>58</v>
      </c>
      <c r="D62" s="29" t="s">
        <v>231</v>
      </c>
      <c r="E62" s="28" t="s">
        <v>211</v>
      </c>
    </row>
    <row r="63" customFormat="false" ht="19.5" hidden="false" customHeight="true" outlineLevel="0" collapsed="false">
      <c r="A63" s="26" t="s">
        <v>35</v>
      </c>
      <c r="B63" s="27" t="s">
        <v>232</v>
      </c>
      <c r="C63" s="28" t="s">
        <v>62</v>
      </c>
      <c r="D63" s="29" t="s">
        <v>233</v>
      </c>
      <c r="E63" s="28" t="s">
        <v>234</v>
      </c>
    </row>
    <row r="64" customFormat="false" ht="19.5" hidden="false" customHeight="true" outlineLevel="0" collapsed="false">
      <c r="A64" s="26" t="s">
        <v>35</v>
      </c>
      <c r="B64" s="27" t="s">
        <v>235</v>
      </c>
      <c r="C64" s="28" t="s">
        <v>62</v>
      </c>
      <c r="D64" s="29" t="s">
        <v>236</v>
      </c>
      <c r="E64" s="28" t="s">
        <v>237</v>
      </c>
    </row>
    <row r="65" customFormat="false" ht="19.5" hidden="false" customHeight="true" outlineLevel="0" collapsed="false">
      <c r="A65" s="26" t="s">
        <v>35</v>
      </c>
      <c r="B65" s="27" t="s">
        <v>238</v>
      </c>
      <c r="C65" s="28" t="s">
        <v>97</v>
      </c>
      <c r="D65" s="29" t="s">
        <v>239</v>
      </c>
      <c r="E65" s="28" t="s">
        <v>240</v>
      </c>
    </row>
    <row r="66" customFormat="false" ht="19.5" hidden="false" customHeight="true" outlineLevel="0" collapsed="false">
      <c r="A66" s="26" t="s">
        <v>35</v>
      </c>
      <c r="B66" s="27" t="s">
        <v>241</v>
      </c>
      <c r="C66" s="28" t="s">
        <v>97</v>
      </c>
      <c r="D66" s="29" t="s">
        <v>242</v>
      </c>
      <c r="E66" s="28" t="s">
        <v>243</v>
      </c>
    </row>
    <row r="67" customFormat="false" ht="19.5" hidden="false" customHeight="true" outlineLevel="0" collapsed="false">
      <c r="A67" s="26" t="s">
        <v>35</v>
      </c>
      <c r="B67" s="27" t="s">
        <v>244</v>
      </c>
      <c r="C67" s="28" t="s">
        <v>97</v>
      </c>
      <c r="D67" s="29" t="s">
        <v>245</v>
      </c>
      <c r="E67" s="28" t="s">
        <v>246</v>
      </c>
    </row>
    <row r="68" customFormat="false" ht="19.5" hidden="false" customHeight="true" outlineLevel="0" collapsed="false">
      <c r="A68" s="26" t="s">
        <v>35</v>
      </c>
      <c r="B68" s="27" t="s">
        <v>247</v>
      </c>
      <c r="C68" s="28" t="s">
        <v>122</v>
      </c>
      <c r="D68" s="29" t="s">
        <v>248</v>
      </c>
      <c r="E68" s="28" t="s">
        <v>124</v>
      </c>
    </row>
    <row r="69" customFormat="false" ht="19.5" hidden="false" customHeight="true" outlineLevel="0" collapsed="false">
      <c r="A69" s="26" t="s">
        <v>35</v>
      </c>
      <c r="B69" s="27" t="s">
        <v>249</v>
      </c>
      <c r="C69" s="28" t="s">
        <v>90</v>
      </c>
      <c r="D69" s="29" t="s">
        <v>250</v>
      </c>
      <c r="E69" s="28" t="s">
        <v>251</v>
      </c>
    </row>
    <row r="70" customFormat="false" ht="19.5" hidden="false" customHeight="true" outlineLevel="0" collapsed="false">
      <c r="A70" s="30" t="s">
        <v>37</v>
      </c>
      <c r="B70" s="31" t="s">
        <v>252</v>
      </c>
      <c r="C70" s="32" t="s">
        <v>58</v>
      </c>
      <c r="D70" s="33" t="s">
        <v>253</v>
      </c>
      <c r="E70" s="32" t="s">
        <v>254</v>
      </c>
    </row>
    <row r="71" customFormat="false" ht="19.5" hidden="false" customHeight="true" outlineLevel="0" collapsed="false">
      <c r="A71" s="30" t="s">
        <v>37</v>
      </c>
      <c r="B71" s="31" t="s">
        <v>255</v>
      </c>
      <c r="C71" s="32" t="s">
        <v>97</v>
      </c>
      <c r="D71" s="33" t="s">
        <v>256</v>
      </c>
      <c r="E71" s="32" t="s">
        <v>257</v>
      </c>
    </row>
    <row r="72" customFormat="false" ht="19.5" hidden="false" customHeight="true" outlineLevel="0" collapsed="false">
      <c r="A72" s="30" t="s">
        <v>37</v>
      </c>
      <c r="B72" s="31" t="s">
        <v>258</v>
      </c>
      <c r="C72" s="32" t="s">
        <v>97</v>
      </c>
      <c r="D72" s="33" t="s">
        <v>259</v>
      </c>
      <c r="E72" s="32" t="s">
        <v>260</v>
      </c>
    </row>
    <row r="73" customFormat="false" ht="19.5" hidden="false" customHeight="true" outlineLevel="0" collapsed="false">
      <c r="A73" s="30" t="s">
        <v>37</v>
      </c>
      <c r="B73" s="31" t="s">
        <v>261</v>
      </c>
      <c r="C73" s="32" t="s">
        <v>58</v>
      </c>
      <c r="D73" s="33" t="s">
        <v>262</v>
      </c>
      <c r="E73" s="32" t="s">
        <v>263</v>
      </c>
    </row>
    <row r="74" customFormat="false" ht="19.5" hidden="false" customHeight="true" outlineLevel="0" collapsed="false">
      <c r="A74" s="30" t="s">
        <v>37</v>
      </c>
      <c r="B74" s="31" t="s">
        <v>264</v>
      </c>
      <c r="C74" s="32" t="s">
        <v>97</v>
      </c>
      <c r="D74" s="33" t="s">
        <v>265</v>
      </c>
      <c r="E74" s="32" t="s">
        <v>266</v>
      </c>
    </row>
    <row r="75" customFormat="false" ht="19.5" hidden="false" customHeight="true" outlineLevel="0" collapsed="false">
      <c r="A75" s="30" t="s">
        <v>37</v>
      </c>
      <c r="B75" s="31" t="s">
        <v>267</v>
      </c>
      <c r="C75" s="32" t="s">
        <v>58</v>
      </c>
      <c r="D75" s="33" t="s">
        <v>268</v>
      </c>
      <c r="E75" s="32" t="s">
        <v>269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3" min="3" style="1" width="8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0"/>
    <col collapsed="false" customWidth="true" hidden="false" outlineLevel="0" max="11" min="11" style="1" width="16"/>
    <col collapsed="false" customWidth="true" hidden="false" outlineLevel="0" max="12" min="12" style="1" width="10"/>
    <col collapsed="false" customWidth="true" hidden="false" outlineLevel="0" max="13" min="13" style="1" width="8"/>
    <col collapsed="false" customWidth="true" hidden="false" outlineLevel="0" max="15" min="14" style="1" width="10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0"/>
    <col collapsed="false" customWidth="true" hidden="false" outlineLevel="0" max="19" min="19" style="1" width="12"/>
    <col collapsed="false" customWidth="true" hidden="false" outlineLevel="0" max="20" min="20" style="1" width="16"/>
    <col collapsed="false" customWidth="true" hidden="false" outlineLevel="0" max="22" min="21" style="1" width="10"/>
  </cols>
  <sheetData>
    <row r="1" customFormat="false" ht="25.5" hidden="false" customHeight="true" outlineLevel="0" collapsed="false">
      <c r="A1" s="20" t="s">
        <v>270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customFormat="false" ht="13.5" hidden="false" customHeight="true" outlineLevel="0" collapsed="false">
      <c r="A2" s="3" t="s">
        <v>271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30" hidden="false" customHeight="true" outlineLevel="0" collapsed="false">
      <c r="A3" s="34" t="s">
        <v>272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customFormat="false" ht="19.5" hidden="false" customHeight="true" outlineLevel="0" collapsed="false">
      <c r="A4" s="21" t="s">
        <v>57</v>
      </c>
      <c r="B4" s="21" t="s">
        <v>61</v>
      </c>
      <c r="C4" s="21" t="s">
        <v>65</v>
      </c>
      <c r="D4" s="21" t="s">
        <v>68</v>
      </c>
      <c r="E4" s="21" t="s">
        <v>71</v>
      </c>
      <c r="F4" s="21" t="s">
        <v>74</v>
      </c>
      <c r="G4" s="21" t="s">
        <v>77</v>
      </c>
      <c r="H4" s="21" t="s">
        <v>80</v>
      </c>
      <c r="I4" s="21" t="s">
        <v>83</v>
      </c>
      <c r="J4" s="21" t="s">
        <v>86</v>
      </c>
      <c r="K4" s="21" t="s">
        <v>89</v>
      </c>
      <c r="L4" s="21" t="s">
        <v>93</v>
      </c>
      <c r="M4" s="21" t="s">
        <v>96</v>
      </c>
      <c r="N4" s="21" t="s">
        <v>100</v>
      </c>
      <c r="O4" s="21" t="s">
        <v>103</v>
      </c>
      <c r="P4" s="21" t="s">
        <v>106</v>
      </c>
      <c r="Q4" s="21" t="s">
        <v>109</v>
      </c>
      <c r="R4" s="21" t="s">
        <v>112</v>
      </c>
      <c r="S4" s="21" t="s">
        <v>115</v>
      </c>
      <c r="T4" s="21" t="s">
        <v>118</v>
      </c>
      <c r="U4" s="21" t="s">
        <v>121</v>
      </c>
      <c r="V4" s="21" t="s">
        <v>125</v>
      </c>
    </row>
    <row r="5" customFormat="false" ht="15" hidden="false" customHeight="true" outlineLevel="0" collapsed="false">
      <c r="A5" s="35" t="s">
        <v>60</v>
      </c>
      <c r="B5" s="35" t="n">
        <v>35</v>
      </c>
      <c r="C5" s="35" t="s">
        <v>273</v>
      </c>
      <c r="D5" s="36" t="s">
        <v>274</v>
      </c>
      <c r="E5" s="36" t="s">
        <v>275</v>
      </c>
      <c r="F5" s="37" t="s">
        <v>276</v>
      </c>
      <c r="G5" s="36" t="s">
        <v>277</v>
      </c>
      <c r="H5" s="38" t="n">
        <v>1300</v>
      </c>
      <c r="I5" s="35" t="n">
        <v>2016</v>
      </c>
      <c r="J5" s="35" t="n">
        <v>8</v>
      </c>
      <c r="K5" s="39" t="n">
        <v>34000</v>
      </c>
      <c r="L5" s="35" t="s">
        <v>278</v>
      </c>
      <c r="M5" s="40" t="n">
        <v>0</v>
      </c>
      <c r="N5" s="41" t="n">
        <v>13</v>
      </c>
      <c r="O5" s="42" t="s">
        <v>279</v>
      </c>
      <c r="P5" s="39" t="n">
        <v>1900</v>
      </c>
      <c r="Q5" s="39" t="n">
        <v>0</v>
      </c>
      <c r="R5" s="43" t="n">
        <v>0</v>
      </c>
      <c r="S5" s="39" t="n">
        <v>0</v>
      </c>
      <c r="T5" s="39" t="n">
        <v>1900</v>
      </c>
      <c r="U5" s="44" t="n">
        <v>1</v>
      </c>
      <c r="V5" s="35" t="n">
        <v>2022</v>
      </c>
    </row>
    <row r="6" customFormat="false" ht="15" hidden="false" customHeight="true" outlineLevel="0" collapsed="false">
      <c r="A6" s="45" t="s">
        <v>280</v>
      </c>
      <c r="B6" s="45" t="n">
        <v>64</v>
      </c>
      <c r="C6" s="45" t="s">
        <v>273</v>
      </c>
      <c r="D6" s="46" t="s">
        <v>281</v>
      </c>
      <c r="E6" s="46" t="s">
        <v>282</v>
      </c>
      <c r="F6" s="47" t="s">
        <v>283</v>
      </c>
      <c r="G6" s="46" t="s">
        <v>284</v>
      </c>
      <c r="H6" s="48" t="n">
        <v>1332</v>
      </c>
      <c r="I6" s="45" t="n">
        <v>2023</v>
      </c>
      <c r="J6" s="45" t="n">
        <v>1</v>
      </c>
      <c r="K6" s="49" t="n">
        <v>23000</v>
      </c>
      <c r="L6" s="45" t="s">
        <v>285</v>
      </c>
      <c r="M6" s="50" t="n">
        <v>0.3</v>
      </c>
      <c r="N6" s="51" t="n">
        <v>6</v>
      </c>
      <c r="O6" s="52" t="s">
        <v>286</v>
      </c>
      <c r="P6" s="49" t="n">
        <v>1000</v>
      </c>
      <c r="Q6" s="49" t="n">
        <v>300</v>
      </c>
      <c r="R6" s="53" t="n">
        <v>0</v>
      </c>
      <c r="S6" s="49" t="n">
        <v>0</v>
      </c>
      <c r="T6" s="49" t="n">
        <v>700</v>
      </c>
      <c r="U6" s="51" t="n">
        <v>0</v>
      </c>
      <c r="V6" s="45" t="n">
        <v>2022</v>
      </c>
    </row>
    <row r="7" customFormat="false" ht="15" hidden="false" customHeight="true" outlineLevel="0" collapsed="false">
      <c r="A7" s="54" t="s">
        <v>287</v>
      </c>
      <c r="B7" s="54" t="n">
        <v>50</v>
      </c>
      <c r="C7" s="54" t="s">
        <v>288</v>
      </c>
      <c r="D7" s="55" t="s">
        <v>281</v>
      </c>
      <c r="E7" s="55" t="s">
        <v>289</v>
      </c>
      <c r="F7" s="56" t="s">
        <v>290</v>
      </c>
      <c r="G7" s="55" t="s">
        <v>291</v>
      </c>
      <c r="H7" s="57" t="n">
        <v>1498</v>
      </c>
      <c r="I7" s="54" t="n">
        <v>2020</v>
      </c>
      <c r="J7" s="54" t="n">
        <v>4</v>
      </c>
      <c r="K7" s="58" t="n">
        <v>26000</v>
      </c>
      <c r="L7" s="54" t="s">
        <v>285</v>
      </c>
      <c r="M7" s="59" t="n">
        <v>0.3</v>
      </c>
      <c r="N7" s="60" t="n">
        <v>10</v>
      </c>
      <c r="O7" s="61" t="s">
        <v>279</v>
      </c>
      <c r="P7" s="58" t="n">
        <v>1100</v>
      </c>
      <c r="Q7" s="58" t="n">
        <v>330</v>
      </c>
      <c r="R7" s="62" t="n">
        <v>0</v>
      </c>
      <c r="S7" s="58" t="n">
        <v>0</v>
      </c>
      <c r="T7" s="58" t="n">
        <v>770</v>
      </c>
      <c r="U7" s="63" t="n">
        <v>0</v>
      </c>
      <c r="V7" s="54" t="n">
        <v>2022</v>
      </c>
    </row>
    <row r="8" customFormat="false" ht="15" hidden="false" customHeight="true" outlineLevel="0" collapsed="false">
      <c r="A8" s="45" t="s">
        <v>292</v>
      </c>
      <c r="B8" s="45" t="n">
        <v>44</v>
      </c>
      <c r="C8" s="45" t="s">
        <v>288</v>
      </c>
      <c r="D8" s="46" t="s">
        <v>293</v>
      </c>
      <c r="E8" s="46" t="s">
        <v>294</v>
      </c>
      <c r="F8" s="47" t="s">
        <v>276</v>
      </c>
      <c r="G8" s="46" t="s">
        <v>277</v>
      </c>
      <c r="H8" s="48" t="n">
        <v>1300</v>
      </c>
      <c r="I8" s="45" t="n">
        <v>2023</v>
      </c>
      <c r="J8" s="45" t="n">
        <v>1</v>
      </c>
      <c r="K8" s="49" t="n">
        <v>25000</v>
      </c>
      <c r="L8" s="45" t="s">
        <v>285</v>
      </c>
      <c r="M8" s="50" t="n">
        <v>0.55</v>
      </c>
      <c r="N8" s="64" t="n">
        <v>10</v>
      </c>
      <c r="O8" s="65" t="s">
        <v>279</v>
      </c>
      <c r="P8" s="49" t="n">
        <v>1100</v>
      </c>
      <c r="Q8" s="49" t="n">
        <v>605</v>
      </c>
      <c r="R8" s="53" t="n">
        <v>0</v>
      </c>
      <c r="S8" s="49" t="n">
        <v>0</v>
      </c>
      <c r="T8" s="49" t="n">
        <v>495</v>
      </c>
      <c r="U8" s="51" t="n">
        <v>0</v>
      </c>
      <c r="V8" s="45" t="n">
        <v>2024</v>
      </c>
    </row>
    <row r="9" customFormat="false" ht="15" hidden="false" customHeight="true" outlineLevel="0" collapsed="false">
      <c r="A9" s="54" t="s">
        <v>295</v>
      </c>
      <c r="B9" s="54" t="n">
        <v>27</v>
      </c>
      <c r="C9" s="54" t="s">
        <v>273</v>
      </c>
      <c r="D9" s="55" t="s">
        <v>274</v>
      </c>
      <c r="E9" s="55" t="s">
        <v>275</v>
      </c>
      <c r="F9" s="56" t="s">
        <v>276</v>
      </c>
      <c r="G9" s="55" t="s">
        <v>277</v>
      </c>
      <c r="H9" s="57" t="n">
        <v>1300</v>
      </c>
      <c r="I9" s="54" t="n">
        <v>2016</v>
      </c>
      <c r="J9" s="54" t="n">
        <v>8</v>
      </c>
      <c r="K9" s="58" t="n">
        <v>38000</v>
      </c>
      <c r="L9" s="54" t="s">
        <v>285</v>
      </c>
      <c r="M9" s="59" t="n">
        <v>0.3833</v>
      </c>
      <c r="N9" s="60" t="n">
        <v>16</v>
      </c>
      <c r="O9" s="61" t="s">
        <v>279</v>
      </c>
      <c r="P9" s="58" t="n">
        <v>1700</v>
      </c>
      <c r="Q9" s="58" t="n">
        <v>652</v>
      </c>
      <c r="R9" s="62" t="n">
        <v>0</v>
      </c>
      <c r="S9" s="58" t="n">
        <v>0</v>
      </c>
      <c r="T9" s="58" t="n">
        <v>1048</v>
      </c>
      <c r="U9" s="63" t="n">
        <v>0</v>
      </c>
      <c r="V9" s="54" t="n">
        <v>2023</v>
      </c>
    </row>
    <row r="10" customFormat="false" ht="15" hidden="false" customHeight="true" outlineLevel="0" collapsed="false">
      <c r="A10" s="45" t="s">
        <v>296</v>
      </c>
      <c r="B10" s="45" t="n">
        <v>27</v>
      </c>
      <c r="C10" s="45" t="s">
        <v>273</v>
      </c>
      <c r="D10" s="46" t="s">
        <v>293</v>
      </c>
      <c r="E10" s="46" t="s">
        <v>275</v>
      </c>
      <c r="F10" s="47" t="s">
        <v>276</v>
      </c>
      <c r="G10" s="46" t="s">
        <v>277</v>
      </c>
      <c r="H10" s="48" t="n">
        <v>1300</v>
      </c>
      <c r="I10" s="45" t="n">
        <v>2016</v>
      </c>
      <c r="J10" s="45" t="n">
        <v>8</v>
      </c>
      <c r="K10" s="49" t="n">
        <v>32000</v>
      </c>
      <c r="L10" s="45" t="s">
        <v>285</v>
      </c>
      <c r="M10" s="50" t="n">
        <v>0.45</v>
      </c>
      <c r="N10" s="64" t="n">
        <v>11</v>
      </c>
      <c r="O10" s="65" t="s">
        <v>279</v>
      </c>
      <c r="P10" s="49" t="n">
        <v>1400</v>
      </c>
      <c r="Q10" s="49" t="n">
        <v>630</v>
      </c>
      <c r="R10" s="53" t="n">
        <v>0</v>
      </c>
      <c r="S10" s="49" t="n">
        <v>0</v>
      </c>
      <c r="T10" s="49" t="n">
        <v>770</v>
      </c>
      <c r="U10" s="51" t="n">
        <v>0</v>
      </c>
      <c r="V10" s="45" t="n">
        <v>2023</v>
      </c>
    </row>
    <row r="11" customFormat="false" ht="15" hidden="false" customHeight="true" outlineLevel="0" collapsed="false">
      <c r="A11" s="35" t="s">
        <v>297</v>
      </c>
      <c r="B11" s="35" t="n">
        <v>23</v>
      </c>
      <c r="C11" s="35" t="s">
        <v>288</v>
      </c>
      <c r="D11" s="36" t="s">
        <v>281</v>
      </c>
      <c r="E11" s="36" t="s">
        <v>275</v>
      </c>
      <c r="F11" s="37" t="s">
        <v>298</v>
      </c>
      <c r="G11" s="36" t="s">
        <v>299</v>
      </c>
      <c r="H11" s="38" t="n">
        <v>1496</v>
      </c>
      <c r="I11" s="35" t="n">
        <v>2015</v>
      </c>
      <c r="J11" s="35" t="n">
        <v>9</v>
      </c>
      <c r="K11" s="39" t="n">
        <v>38000</v>
      </c>
      <c r="L11" s="35" t="s">
        <v>285</v>
      </c>
      <c r="M11" s="40" t="n">
        <v>0.3</v>
      </c>
      <c r="N11" s="41" t="n">
        <v>14</v>
      </c>
      <c r="O11" s="42" t="s">
        <v>279</v>
      </c>
      <c r="P11" s="39" t="n">
        <v>1700</v>
      </c>
      <c r="Q11" s="39" t="n">
        <v>510</v>
      </c>
      <c r="R11" s="43" t="n">
        <v>0</v>
      </c>
      <c r="S11" s="39" t="n">
        <v>0</v>
      </c>
      <c r="T11" s="39" t="n">
        <v>1190</v>
      </c>
      <c r="U11" s="44" t="n">
        <v>1</v>
      </c>
      <c r="V11" s="35" t="n">
        <v>2023</v>
      </c>
    </row>
    <row r="12" customFormat="false" ht="15" hidden="false" customHeight="true" outlineLevel="0" collapsed="false">
      <c r="A12" s="45" t="s">
        <v>300</v>
      </c>
      <c r="B12" s="45" t="n">
        <v>56</v>
      </c>
      <c r="C12" s="45" t="s">
        <v>273</v>
      </c>
      <c r="D12" s="46" t="s">
        <v>281</v>
      </c>
      <c r="E12" s="46" t="s">
        <v>301</v>
      </c>
      <c r="F12" s="47" t="s">
        <v>302</v>
      </c>
      <c r="G12" s="46" t="s">
        <v>303</v>
      </c>
      <c r="H12" s="48" t="n">
        <v>1498</v>
      </c>
      <c r="I12" s="45" t="n">
        <v>2022</v>
      </c>
      <c r="J12" s="45" t="n">
        <v>2</v>
      </c>
      <c r="K12" s="49" t="n">
        <v>46000</v>
      </c>
      <c r="L12" s="45" t="s">
        <v>285</v>
      </c>
      <c r="M12" s="50" t="n">
        <v>0.45</v>
      </c>
      <c r="N12" s="64" t="n">
        <v>13</v>
      </c>
      <c r="O12" s="65" t="s">
        <v>279</v>
      </c>
      <c r="P12" s="49" t="n">
        <v>2000</v>
      </c>
      <c r="Q12" s="49" t="n">
        <v>900</v>
      </c>
      <c r="R12" s="53" t="n">
        <v>0</v>
      </c>
      <c r="S12" s="49" t="n">
        <v>0</v>
      </c>
      <c r="T12" s="49" t="n">
        <v>1100</v>
      </c>
      <c r="U12" s="51" t="n">
        <v>0</v>
      </c>
      <c r="V12" s="45" t="n">
        <v>2023</v>
      </c>
    </row>
    <row r="13" customFormat="false" ht="15" hidden="false" customHeight="true" outlineLevel="0" collapsed="false">
      <c r="A13" s="54" t="s">
        <v>304</v>
      </c>
      <c r="B13" s="54" t="n">
        <v>44</v>
      </c>
      <c r="C13" s="54" t="s">
        <v>288</v>
      </c>
      <c r="D13" s="55" t="s">
        <v>305</v>
      </c>
      <c r="E13" s="55" t="s">
        <v>275</v>
      </c>
      <c r="F13" s="56" t="s">
        <v>276</v>
      </c>
      <c r="G13" s="55" t="s">
        <v>277</v>
      </c>
      <c r="H13" s="57" t="n">
        <v>1300</v>
      </c>
      <c r="I13" s="54" t="n">
        <v>2017</v>
      </c>
      <c r="J13" s="54" t="n">
        <v>7</v>
      </c>
      <c r="K13" s="58" t="n">
        <v>30000</v>
      </c>
      <c r="L13" s="54" t="s">
        <v>285</v>
      </c>
      <c r="M13" s="59" t="n">
        <v>0</v>
      </c>
      <c r="N13" s="63" t="n">
        <v>7</v>
      </c>
      <c r="O13" s="66" t="s">
        <v>286</v>
      </c>
      <c r="P13" s="58" t="n">
        <v>1300</v>
      </c>
      <c r="Q13" s="58" t="n">
        <v>0</v>
      </c>
      <c r="R13" s="62" t="n">
        <v>0</v>
      </c>
      <c r="S13" s="58" t="n">
        <v>0</v>
      </c>
      <c r="T13" s="58" t="n">
        <v>1300</v>
      </c>
      <c r="U13" s="63" t="n">
        <v>0</v>
      </c>
      <c r="V13" s="54" t="n">
        <v>2022</v>
      </c>
    </row>
    <row r="14" customFormat="false" ht="15" hidden="false" customHeight="true" outlineLevel="0" collapsed="false">
      <c r="A14" s="45" t="s">
        <v>306</v>
      </c>
      <c r="B14" s="45" t="n">
        <v>49</v>
      </c>
      <c r="C14" s="45" t="s">
        <v>288</v>
      </c>
      <c r="D14" s="46" t="s">
        <v>307</v>
      </c>
      <c r="E14" s="46" t="s">
        <v>275</v>
      </c>
      <c r="F14" s="47" t="s">
        <v>283</v>
      </c>
      <c r="G14" s="46" t="s">
        <v>284</v>
      </c>
      <c r="H14" s="48" t="n">
        <v>1332</v>
      </c>
      <c r="I14" s="45" t="n">
        <v>2022</v>
      </c>
      <c r="J14" s="45" t="n">
        <v>2</v>
      </c>
      <c r="K14" s="49" t="n">
        <v>25000</v>
      </c>
      <c r="L14" s="45" t="s">
        <v>278</v>
      </c>
      <c r="M14" s="50" t="n">
        <v>0.55</v>
      </c>
      <c r="N14" s="51" t="n">
        <v>5</v>
      </c>
      <c r="O14" s="52" t="s">
        <v>286</v>
      </c>
      <c r="P14" s="49" t="n">
        <v>1400</v>
      </c>
      <c r="Q14" s="49" t="n">
        <v>770</v>
      </c>
      <c r="R14" s="53" t="n">
        <v>0</v>
      </c>
      <c r="S14" s="49" t="n">
        <v>0</v>
      </c>
      <c r="T14" s="49" t="n">
        <v>630</v>
      </c>
      <c r="U14" s="51" t="n">
        <v>0</v>
      </c>
      <c r="V14" s="45" t="n">
        <v>2022</v>
      </c>
    </row>
    <row r="15" customFormat="false" ht="15" hidden="false" customHeight="true" outlineLevel="0" collapsed="false">
      <c r="A15" s="54" t="s">
        <v>308</v>
      </c>
      <c r="B15" s="54" t="n">
        <v>21</v>
      </c>
      <c r="C15" s="54" t="s">
        <v>288</v>
      </c>
      <c r="D15" s="55" t="s">
        <v>309</v>
      </c>
      <c r="E15" s="55" t="s">
        <v>310</v>
      </c>
      <c r="F15" s="56" t="s">
        <v>276</v>
      </c>
      <c r="G15" s="55" t="s">
        <v>277</v>
      </c>
      <c r="H15" s="57" t="n">
        <v>1300</v>
      </c>
      <c r="I15" s="54" t="n">
        <v>2019</v>
      </c>
      <c r="J15" s="54" t="n">
        <v>5</v>
      </c>
      <c r="K15" s="58" t="n">
        <v>28000</v>
      </c>
      <c r="L15" s="54" t="s">
        <v>285</v>
      </c>
      <c r="M15" s="59" t="n">
        <v>0.55</v>
      </c>
      <c r="N15" s="60" t="n">
        <v>13</v>
      </c>
      <c r="O15" s="61" t="s">
        <v>279</v>
      </c>
      <c r="P15" s="58" t="n">
        <v>1200</v>
      </c>
      <c r="Q15" s="58" t="n">
        <v>660</v>
      </c>
      <c r="R15" s="62" t="n">
        <v>0</v>
      </c>
      <c r="S15" s="58" t="n">
        <v>0</v>
      </c>
      <c r="T15" s="58" t="n">
        <v>540</v>
      </c>
      <c r="U15" s="63" t="n">
        <v>0</v>
      </c>
      <c r="V15" s="54" t="n">
        <v>2022</v>
      </c>
    </row>
    <row r="16" customFormat="false" ht="15" hidden="false" customHeight="true" outlineLevel="0" collapsed="false">
      <c r="A16" s="45" t="s">
        <v>311</v>
      </c>
      <c r="B16" s="45" t="n">
        <v>66</v>
      </c>
      <c r="C16" s="45" t="s">
        <v>288</v>
      </c>
      <c r="D16" s="46" t="s">
        <v>305</v>
      </c>
      <c r="E16" s="46" t="s">
        <v>312</v>
      </c>
      <c r="F16" s="47" t="s">
        <v>276</v>
      </c>
      <c r="G16" s="46" t="s">
        <v>277</v>
      </c>
      <c r="H16" s="48" t="n">
        <v>1300</v>
      </c>
      <c r="I16" s="45" t="n">
        <v>2023</v>
      </c>
      <c r="J16" s="45" t="n">
        <v>1</v>
      </c>
      <c r="K16" s="49" t="n">
        <v>32000</v>
      </c>
      <c r="L16" s="45" t="s">
        <v>285</v>
      </c>
      <c r="M16" s="50" t="n">
        <v>0.55</v>
      </c>
      <c r="N16" s="64" t="n">
        <v>14</v>
      </c>
      <c r="O16" s="65" t="s">
        <v>279</v>
      </c>
      <c r="P16" s="49" t="n">
        <v>1400</v>
      </c>
      <c r="Q16" s="49" t="n">
        <v>770</v>
      </c>
      <c r="R16" s="53" t="n">
        <v>0</v>
      </c>
      <c r="S16" s="49" t="n">
        <v>0</v>
      </c>
      <c r="T16" s="49" t="n">
        <v>630</v>
      </c>
      <c r="U16" s="51" t="n">
        <v>0</v>
      </c>
      <c r="V16" s="45" t="n">
        <v>2023</v>
      </c>
    </row>
    <row r="17" customFormat="false" ht="15" hidden="false" customHeight="true" outlineLevel="0" collapsed="false">
      <c r="A17" s="54" t="s">
        <v>313</v>
      </c>
      <c r="B17" s="54" t="n">
        <v>54</v>
      </c>
      <c r="C17" s="54" t="s">
        <v>273</v>
      </c>
      <c r="D17" s="55" t="s">
        <v>307</v>
      </c>
      <c r="E17" s="55" t="s">
        <v>301</v>
      </c>
      <c r="F17" s="56" t="s">
        <v>276</v>
      </c>
      <c r="G17" s="55" t="s">
        <v>314</v>
      </c>
      <c r="H17" s="57" t="n">
        <v>850</v>
      </c>
      <c r="I17" s="54" t="n">
        <v>2020</v>
      </c>
      <c r="J17" s="54" t="n">
        <v>4</v>
      </c>
      <c r="K17" s="58" t="n">
        <v>20000</v>
      </c>
      <c r="L17" s="54" t="s">
        <v>285</v>
      </c>
      <c r="M17" s="59" t="n">
        <v>0.3</v>
      </c>
      <c r="N17" s="63" t="n">
        <v>4</v>
      </c>
      <c r="O17" s="66" t="s">
        <v>286</v>
      </c>
      <c r="P17" s="58" t="n">
        <v>800</v>
      </c>
      <c r="Q17" s="58" t="n">
        <v>240</v>
      </c>
      <c r="R17" s="62" t="n">
        <v>0</v>
      </c>
      <c r="S17" s="58" t="n">
        <v>0</v>
      </c>
      <c r="T17" s="58" t="n">
        <v>560</v>
      </c>
      <c r="U17" s="63" t="n">
        <v>0</v>
      </c>
      <c r="V17" s="54" t="n">
        <v>2023</v>
      </c>
    </row>
    <row r="18" customFormat="false" ht="15" hidden="false" customHeight="true" outlineLevel="0" collapsed="false">
      <c r="A18" s="45" t="s">
        <v>315</v>
      </c>
      <c r="B18" s="45" t="n">
        <v>29</v>
      </c>
      <c r="C18" s="45" t="s">
        <v>273</v>
      </c>
      <c r="D18" s="46" t="s">
        <v>274</v>
      </c>
      <c r="E18" s="46" t="s">
        <v>301</v>
      </c>
      <c r="F18" s="47" t="s">
        <v>276</v>
      </c>
      <c r="G18" s="46" t="s">
        <v>314</v>
      </c>
      <c r="H18" s="48" t="n">
        <v>850</v>
      </c>
      <c r="I18" s="45" t="n">
        <v>2023</v>
      </c>
      <c r="J18" s="45" t="n">
        <v>1</v>
      </c>
      <c r="K18" s="49" t="n">
        <v>19000</v>
      </c>
      <c r="L18" s="45" t="s">
        <v>285</v>
      </c>
      <c r="M18" s="50" t="n">
        <v>0.3833</v>
      </c>
      <c r="N18" s="64" t="n">
        <v>14</v>
      </c>
      <c r="O18" s="65" t="s">
        <v>279</v>
      </c>
      <c r="P18" s="49" t="n">
        <v>800</v>
      </c>
      <c r="Q18" s="49" t="n">
        <v>307</v>
      </c>
      <c r="R18" s="53" t="n">
        <v>0</v>
      </c>
      <c r="S18" s="49" t="n">
        <v>0</v>
      </c>
      <c r="T18" s="49" t="n">
        <v>493</v>
      </c>
      <c r="U18" s="51" t="n">
        <v>0</v>
      </c>
      <c r="V18" s="45" t="n">
        <v>2023</v>
      </c>
    </row>
    <row r="19" customFormat="false" ht="15" hidden="false" customHeight="true" outlineLevel="0" collapsed="false">
      <c r="A19" s="54" t="s">
        <v>316</v>
      </c>
      <c r="B19" s="54" t="n">
        <v>28</v>
      </c>
      <c r="C19" s="54" t="s">
        <v>288</v>
      </c>
      <c r="D19" s="55" t="s">
        <v>293</v>
      </c>
      <c r="E19" s="55" t="s">
        <v>275</v>
      </c>
      <c r="F19" s="56" t="s">
        <v>283</v>
      </c>
      <c r="G19" s="55" t="s">
        <v>284</v>
      </c>
      <c r="H19" s="57" t="n">
        <v>1332</v>
      </c>
      <c r="I19" s="54" t="n">
        <v>2018</v>
      </c>
      <c r="J19" s="54" t="n">
        <v>6</v>
      </c>
      <c r="K19" s="58" t="n">
        <v>29000</v>
      </c>
      <c r="L19" s="54" t="s">
        <v>285</v>
      </c>
      <c r="M19" s="59" t="n">
        <v>0.45</v>
      </c>
      <c r="N19" s="60" t="n">
        <v>13</v>
      </c>
      <c r="O19" s="61" t="s">
        <v>279</v>
      </c>
      <c r="P19" s="58" t="n">
        <v>1300</v>
      </c>
      <c r="Q19" s="58" t="n">
        <v>585</v>
      </c>
      <c r="R19" s="62" t="n">
        <v>0</v>
      </c>
      <c r="S19" s="58" t="n">
        <v>0</v>
      </c>
      <c r="T19" s="58" t="n">
        <v>715</v>
      </c>
      <c r="U19" s="63" t="n">
        <v>0</v>
      </c>
      <c r="V19" s="54" t="n">
        <v>2023</v>
      </c>
    </row>
    <row r="20" customFormat="false" ht="15" hidden="false" customHeight="true" outlineLevel="0" collapsed="false">
      <c r="A20" s="35" t="s">
        <v>317</v>
      </c>
      <c r="B20" s="35" t="n">
        <v>28</v>
      </c>
      <c r="C20" s="35" t="s">
        <v>288</v>
      </c>
      <c r="D20" s="36" t="s">
        <v>274</v>
      </c>
      <c r="E20" s="36" t="s">
        <v>275</v>
      </c>
      <c r="F20" s="37" t="s">
        <v>276</v>
      </c>
      <c r="G20" s="36" t="s">
        <v>277</v>
      </c>
      <c r="H20" s="38" t="n">
        <v>1300</v>
      </c>
      <c r="I20" s="35" t="n">
        <v>2024</v>
      </c>
      <c r="J20" s="35" t="n">
        <v>0</v>
      </c>
      <c r="K20" s="39" t="n">
        <v>31000</v>
      </c>
      <c r="L20" s="35" t="s">
        <v>285</v>
      </c>
      <c r="M20" s="40" t="n">
        <v>0</v>
      </c>
      <c r="N20" s="44" t="n">
        <v>17</v>
      </c>
      <c r="O20" s="42" t="s">
        <v>318</v>
      </c>
      <c r="P20" s="39" t="n">
        <v>1400</v>
      </c>
      <c r="Q20" s="39" t="n">
        <v>0</v>
      </c>
      <c r="R20" s="43" t="n">
        <v>0</v>
      </c>
      <c r="S20" s="39" t="n">
        <v>0</v>
      </c>
      <c r="T20" s="39" t="n">
        <v>1400</v>
      </c>
      <c r="U20" s="44" t="n">
        <v>1</v>
      </c>
      <c r="V20" s="35" t="n">
        <v>2022</v>
      </c>
    </row>
    <row r="21" customFormat="false" ht="15" hidden="false" customHeight="true" outlineLevel="0" collapsed="false">
      <c r="A21" s="54" t="s">
        <v>319</v>
      </c>
      <c r="B21" s="54" t="n">
        <v>32</v>
      </c>
      <c r="C21" s="54" t="s">
        <v>273</v>
      </c>
      <c r="D21" s="55" t="s">
        <v>305</v>
      </c>
      <c r="E21" s="55" t="s">
        <v>289</v>
      </c>
      <c r="F21" s="56" t="s">
        <v>276</v>
      </c>
      <c r="G21" s="55" t="s">
        <v>277</v>
      </c>
      <c r="H21" s="57" t="n">
        <v>1300</v>
      </c>
      <c r="I21" s="54" t="n">
        <v>2022</v>
      </c>
      <c r="J21" s="54" t="n">
        <v>2</v>
      </c>
      <c r="K21" s="58" t="n">
        <v>23000</v>
      </c>
      <c r="L21" s="54" t="s">
        <v>285</v>
      </c>
      <c r="M21" s="59" t="n">
        <v>0.55</v>
      </c>
      <c r="N21" s="60" t="n">
        <v>14</v>
      </c>
      <c r="O21" s="61" t="s">
        <v>279</v>
      </c>
      <c r="P21" s="58" t="n">
        <v>1000</v>
      </c>
      <c r="Q21" s="58" t="n">
        <v>550</v>
      </c>
      <c r="R21" s="62" t="n">
        <v>0</v>
      </c>
      <c r="S21" s="58" t="n">
        <v>0</v>
      </c>
      <c r="T21" s="58" t="n">
        <v>450</v>
      </c>
      <c r="U21" s="63" t="n">
        <v>0</v>
      </c>
      <c r="V21" s="54" t="n">
        <v>2022</v>
      </c>
    </row>
    <row r="22" customFormat="false" ht="15" hidden="false" customHeight="true" outlineLevel="0" collapsed="false">
      <c r="A22" s="45" t="s">
        <v>320</v>
      </c>
      <c r="B22" s="45" t="n">
        <v>40</v>
      </c>
      <c r="C22" s="45" t="s">
        <v>288</v>
      </c>
      <c r="D22" s="46" t="s">
        <v>309</v>
      </c>
      <c r="E22" s="46" t="s">
        <v>275</v>
      </c>
      <c r="F22" s="47" t="s">
        <v>276</v>
      </c>
      <c r="G22" s="46" t="s">
        <v>314</v>
      </c>
      <c r="H22" s="48" t="n">
        <v>850</v>
      </c>
      <c r="I22" s="45" t="n">
        <v>2021</v>
      </c>
      <c r="J22" s="45" t="n">
        <v>3</v>
      </c>
      <c r="K22" s="49" t="n">
        <v>15000</v>
      </c>
      <c r="L22" s="45" t="s">
        <v>285</v>
      </c>
      <c r="M22" s="50" t="n">
        <v>0.55</v>
      </c>
      <c r="N22" s="51" t="n">
        <v>4</v>
      </c>
      <c r="O22" s="52" t="s">
        <v>286</v>
      </c>
      <c r="P22" s="49" t="n">
        <v>800</v>
      </c>
      <c r="Q22" s="49" t="n">
        <v>440</v>
      </c>
      <c r="R22" s="53" t="n">
        <v>0</v>
      </c>
      <c r="S22" s="49" t="n">
        <v>0</v>
      </c>
      <c r="T22" s="49" t="n">
        <v>360</v>
      </c>
      <c r="U22" s="51" t="n">
        <v>0</v>
      </c>
      <c r="V22" s="45" t="n">
        <v>2024</v>
      </c>
    </row>
    <row r="23" customFormat="false" ht="15" hidden="false" customHeight="true" outlineLevel="0" collapsed="false">
      <c r="A23" s="54" t="s">
        <v>321</v>
      </c>
      <c r="B23" s="54" t="n">
        <v>37</v>
      </c>
      <c r="C23" s="54" t="s">
        <v>273</v>
      </c>
      <c r="D23" s="55" t="s">
        <v>274</v>
      </c>
      <c r="E23" s="55" t="s">
        <v>322</v>
      </c>
      <c r="F23" s="56" t="s">
        <v>298</v>
      </c>
      <c r="G23" s="55" t="s">
        <v>323</v>
      </c>
      <c r="H23" s="57" t="n">
        <v>2494</v>
      </c>
      <c r="I23" s="54" t="n">
        <v>2016</v>
      </c>
      <c r="J23" s="54" t="n">
        <v>8</v>
      </c>
      <c r="K23" s="58" t="n">
        <v>74000</v>
      </c>
      <c r="L23" s="54" t="s">
        <v>285</v>
      </c>
      <c r="M23" s="59" t="n">
        <v>0.3833</v>
      </c>
      <c r="N23" s="60" t="n">
        <v>15</v>
      </c>
      <c r="O23" s="61" t="s">
        <v>279</v>
      </c>
      <c r="P23" s="58" t="n">
        <v>4100</v>
      </c>
      <c r="Q23" s="58" t="n">
        <v>1572</v>
      </c>
      <c r="R23" s="62" t="n">
        <v>0</v>
      </c>
      <c r="S23" s="58" t="n">
        <v>0</v>
      </c>
      <c r="T23" s="58" t="n">
        <v>2528</v>
      </c>
      <c r="U23" s="63" t="n">
        <v>0</v>
      </c>
      <c r="V23" s="54" t="n">
        <v>2023</v>
      </c>
    </row>
    <row r="24" customFormat="false" ht="15" hidden="false" customHeight="true" outlineLevel="0" collapsed="false">
      <c r="A24" s="45" t="s">
        <v>324</v>
      </c>
      <c r="B24" s="45" t="n">
        <v>32</v>
      </c>
      <c r="C24" s="45" t="s">
        <v>273</v>
      </c>
      <c r="D24" s="46" t="s">
        <v>305</v>
      </c>
      <c r="E24" s="46" t="s">
        <v>289</v>
      </c>
      <c r="F24" s="47" t="s">
        <v>298</v>
      </c>
      <c r="G24" s="46" t="s">
        <v>323</v>
      </c>
      <c r="H24" s="48" t="n">
        <v>2494</v>
      </c>
      <c r="I24" s="45" t="n">
        <v>2023</v>
      </c>
      <c r="J24" s="45" t="n">
        <v>1</v>
      </c>
      <c r="K24" s="49" t="n">
        <v>56000</v>
      </c>
      <c r="L24" s="45" t="s">
        <v>285</v>
      </c>
      <c r="M24" s="50" t="n">
        <v>0.3833</v>
      </c>
      <c r="N24" s="51" t="n">
        <v>7</v>
      </c>
      <c r="O24" s="52" t="s">
        <v>286</v>
      </c>
      <c r="P24" s="49" t="n">
        <v>3100</v>
      </c>
      <c r="Q24" s="49" t="n">
        <v>1188</v>
      </c>
      <c r="R24" s="53" t="n">
        <v>0</v>
      </c>
      <c r="S24" s="49" t="n">
        <v>0</v>
      </c>
      <c r="T24" s="49" t="n">
        <v>1912</v>
      </c>
      <c r="U24" s="51" t="n">
        <v>0</v>
      </c>
      <c r="V24" s="45" t="n">
        <v>2022</v>
      </c>
    </row>
    <row r="25" customFormat="false" ht="15" hidden="false" customHeight="true" outlineLevel="0" collapsed="false">
      <c r="A25" s="54" t="s">
        <v>325</v>
      </c>
      <c r="B25" s="54" t="n">
        <v>44</v>
      </c>
      <c r="C25" s="54" t="s">
        <v>273</v>
      </c>
      <c r="D25" s="55" t="s">
        <v>293</v>
      </c>
      <c r="E25" s="55" t="s">
        <v>301</v>
      </c>
      <c r="F25" s="56" t="s">
        <v>302</v>
      </c>
      <c r="G25" s="55" t="s">
        <v>326</v>
      </c>
      <c r="H25" s="57" t="n">
        <v>1496</v>
      </c>
      <c r="I25" s="54" t="n">
        <v>2015</v>
      </c>
      <c r="J25" s="54" t="n">
        <v>9</v>
      </c>
      <c r="K25" s="58" t="n">
        <v>38000</v>
      </c>
      <c r="L25" s="54" t="s">
        <v>285</v>
      </c>
      <c r="M25" s="59" t="n">
        <v>0.3833</v>
      </c>
      <c r="N25" s="60" t="n">
        <v>14</v>
      </c>
      <c r="O25" s="61" t="s">
        <v>279</v>
      </c>
      <c r="P25" s="58" t="n">
        <v>1700</v>
      </c>
      <c r="Q25" s="58" t="n">
        <v>652</v>
      </c>
      <c r="R25" s="62" t="n">
        <v>0</v>
      </c>
      <c r="S25" s="58" t="n">
        <v>0</v>
      </c>
      <c r="T25" s="58" t="n">
        <v>1048</v>
      </c>
      <c r="U25" s="63" t="n">
        <v>0</v>
      </c>
      <c r="V25" s="54" t="n">
        <v>2024</v>
      </c>
    </row>
    <row r="26" customFormat="false" ht="15" hidden="false" customHeight="true" outlineLevel="0" collapsed="false">
      <c r="A26" s="35" t="s">
        <v>327</v>
      </c>
      <c r="B26" s="35" t="n">
        <v>27</v>
      </c>
      <c r="C26" s="35" t="s">
        <v>288</v>
      </c>
      <c r="D26" s="36" t="s">
        <v>307</v>
      </c>
      <c r="E26" s="36" t="s">
        <v>301</v>
      </c>
      <c r="F26" s="37" t="s">
        <v>276</v>
      </c>
      <c r="G26" s="36" t="s">
        <v>277</v>
      </c>
      <c r="H26" s="38" t="n">
        <v>1300</v>
      </c>
      <c r="I26" s="35" t="n">
        <v>2018</v>
      </c>
      <c r="J26" s="35" t="n">
        <v>6</v>
      </c>
      <c r="K26" s="39" t="n">
        <v>41000</v>
      </c>
      <c r="L26" s="35" t="s">
        <v>285</v>
      </c>
      <c r="M26" s="40" t="n">
        <v>0.3833</v>
      </c>
      <c r="N26" s="41" t="n">
        <v>13</v>
      </c>
      <c r="O26" s="42" t="s">
        <v>279</v>
      </c>
      <c r="P26" s="39" t="n">
        <v>1800</v>
      </c>
      <c r="Q26" s="39" t="n">
        <v>690</v>
      </c>
      <c r="R26" s="43" t="n">
        <v>0</v>
      </c>
      <c r="S26" s="39" t="n">
        <v>0</v>
      </c>
      <c r="T26" s="39" t="n">
        <v>1110</v>
      </c>
      <c r="U26" s="44" t="n">
        <v>1</v>
      </c>
      <c r="V26" s="35" t="n">
        <v>2023</v>
      </c>
    </row>
    <row r="27" customFormat="false" ht="15" hidden="false" customHeight="true" outlineLevel="0" collapsed="false">
      <c r="A27" s="54" t="s">
        <v>328</v>
      </c>
      <c r="B27" s="54" t="n">
        <v>32</v>
      </c>
      <c r="C27" s="54" t="s">
        <v>288</v>
      </c>
      <c r="D27" s="55" t="s">
        <v>293</v>
      </c>
      <c r="E27" s="55" t="s">
        <v>312</v>
      </c>
      <c r="F27" s="56" t="s">
        <v>276</v>
      </c>
      <c r="G27" s="55" t="s">
        <v>314</v>
      </c>
      <c r="H27" s="57" t="n">
        <v>850</v>
      </c>
      <c r="I27" s="54" t="n">
        <v>2023</v>
      </c>
      <c r="J27" s="54" t="n">
        <v>1</v>
      </c>
      <c r="K27" s="58" t="n">
        <v>12000</v>
      </c>
      <c r="L27" s="54" t="s">
        <v>285</v>
      </c>
      <c r="M27" s="59" t="n">
        <v>0.45</v>
      </c>
      <c r="N27" s="60" t="n">
        <v>14</v>
      </c>
      <c r="O27" s="61" t="s">
        <v>279</v>
      </c>
      <c r="P27" s="58" t="n">
        <v>800</v>
      </c>
      <c r="Q27" s="58" t="n">
        <v>360</v>
      </c>
      <c r="R27" s="62" t="n">
        <v>0</v>
      </c>
      <c r="S27" s="58" t="n">
        <v>0</v>
      </c>
      <c r="T27" s="58" t="n">
        <v>440</v>
      </c>
      <c r="U27" s="63" t="n">
        <v>0</v>
      </c>
      <c r="V27" s="54" t="n">
        <v>2023</v>
      </c>
    </row>
    <row r="28" customFormat="false" ht="15" hidden="false" customHeight="true" outlineLevel="0" collapsed="false">
      <c r="A28" s="45" t="s">
        <v>329</v>
      </c>
      <c r="B28" s="45" t="n">
        <v>35</v>
      </c>
      <c r="C28" s="45" t="s">
        <v>273</v>
      </c>
      <c r="D28" s="46" t="s">
        <v>330</v>
      </c>
      <c r="E28" s="46" t="s">
        <v>282</v>
      </c>
      <c r="F28" s="47" t="s">
        <v>283</v>
      </c>
      <c r="G28" s="46" t="s">
        <v>284</v>
      </c>
      <c r="H28" s="48" t="n">
        <v>1332</v>
      </c>
      <c r="I28" s="45" t="n">
        <v>2015</v>
      </c>
      <c r="J28" s="45" t="n">
        <v>9</v>
      </c>
      <c r="K28" s="49" t="n">
        <v>27000</v>
      </c>
      <c r="L28" s="45" t="s">
        <v>285</v>
      </c>
      <c r="M28" s="50" t="n">
        <v>0.45</v>
      </c>
      <c r="N28" s="64" t="n">
        <v>15</v>
      </c>
      <c r="O28" s="65" t="s">
        <v>279</v>
      </c>
      <c r="P28" s="49" t="n">
        <v>1200</v>
      </c>
      <c r="Q28" s="49" t="n">
        <v>540</v>
      </c>
      <c r="R28" s="53" t="n">
        <v>0</v>
      </c>
      <c r="S28" s="49" t="n">
        <v>0</v>
      </c>
      <c r="T28" s="49" t="n">
        <v>660</v>
      </c>
      <c r="U28" s="51" t="n">
        <v>0</v>
      </c>
      <c r="V28" s="45" t="n">
        <v>2023</v>
      </c>
    </row>
    <row r="29" customFormat="false" ht="15" hidden="false" customHeight="true" outlineLevel="0" collapsed="false">
      <c r="A29" s="35" t="s">
        <v>331</v>
      </c>
      <c r="B29" s="35" t="n">
        <v>38</v>
      </c>
      <c r="C29" s="35" t="s">
        <v>273</v>
      </c>
      <c r="D29" s="36" t="s">
        <v>307</v>
      </c>
      <c r="E29" s="36" t="s">
        <v>275</v>
      </c>
      <c r="F29" s="37" t="s">
        <v>276</v>
      </c>
      <c r="G29" s="36" t="s">
        <v>277</v>
      </c>
      <c r="H29" s="38" t="n">
        <v>1300</v>
      </c>
      <c r="I29" s="35" t="n">
        <v>2017</v>
      </c>
      <c r="J29" s="35" t="n">
        <v>7</v>
      </c>
      <c r="K29" s="39" t="n">
        <v>34000</v>
      </c>
      <c r="L29" s="35" t="s">
        <v>285</v>
      </c>
      <c r="M29" s="40" t="n">
        <v>0.3</v>
      </c>
      <c r="N29" s="67" t="n">
        <v>7</v>
      </c>
      <c r="O29" s="68" t="s">
        <v>286</v>
      </c>
      <c r="P29" s="39" t="n">
        <v>1500</v>
      </c>
      <c r="Q29" s="39" t="n">
        <v>450</v>
      </c>
      <c r="R29" s="43" t="n">
        <v>0</v>
      </c>
      <c r="S29" s="39" t="n">
        <v>0</v>
      </c>
      <c r="T29" s="39" t="n">
        <v>1050</v>
      </c>
      <c r="U29" s="44" t="n">
        <v>1</v>
      </c>
      <c r="V29" s="35" t="n">
        <v>2023</v>
      </c>
    </row>
    <row r="30" customFormat="false" ht="15" hidden="false" customHeight="true" outlineLevel="0" collapsed="false">
      <c r="A30" s="45" t="s">
        <v>332</v>
      </c>
      <c r="B30" s="45" t="n">
        <v>52</v>
      </c>
      <c r="C30" s="45" t="s">
        <v>288</v>
      </c>
      <c r="D30" s="46" t="s">
        <v>330</v>
      </c>
      <c r="E30" s="46" t="s">
        <v>289</v>
      </c>
      <c r="F30" s="47" t="s">
        <v>276</v>
      </c>
      <c r="G30" s="46" t="s">
        <v>277</v>
      </c>
      <c r="H30" s="48" t="n">
        <v>1300</v>
      </c>
      <c r="I30" s="45" t="n">
        <v>2019</v>
      </c>
      <c r="J30" s="45" t="n">
        <v>5</v>
      </c>
      <c r="K30" s="49" t="n">
        <v>21000</v>
      </c>
      <c r="L30" s="45" t="s">
        <v>285</v>
      </c>
      <c r="M30" s="50" t="n">
        <v>0</v>
      </c>
      <c r="N30" s="64" t="n">
        <v>9</v>
      </c>
      <c r="O30" s="65" t="s">
        <v>279</v>
      </c>
      <c r="P30" s="49" t="n">
        <v>900</v>
      </c>
      <c r="Q30" s="49" t="n">
        <v>0</v>
      </c>
      <c r="R30" s="53" t="n">
        <v>0</v>
      </c>
      <c r="S30" s="49" t="n">
        <v>0</v>
      </c>
      <c r="T30" s="49" t="n">
        <v>900</v>
      </c>
      <c r="U30" s="51" t="n">
        <v>0</v>
      </c>
      <c r="V30" s="45" t="n">
        <v>2022</v>
      </c>
    </row>
    <row r="31" customFormat="false" ht="15" hidden="false" customHeight="true" outlineLevel="0" collapsed="false">
      <c r="A31" s="54" t="s">
        <v>333</v>
      </c>
      <c r="B31" s="54" t="n">
        <v>29</v>
      </c>
      <c r="C31" s="54" t="s">
        <v>288</v>
      </c>
      <c r="D31" s="55" t="s">
        <v>309</v>
      </c>
      <c r="E31" s="55" t="s">
        <v>322</v>
      </c>
      <c r="F31" s="56" t="s">
        <v>283</v>
      </c>
      <c r="G31" s="55" t="s">
        <v>284</v>
      </c>
      <c r="H31" s="57" t="n">
        <v>1332</v>
      </c>
      <c r="I31" s="54" t="n">
        <v>2023</v>
      </c>
      <c r="J31" s="54" t="n">
        <v>1</v>
      </c>
      <c r="K31" s="58" t="n">
        <v>14000</v>
      </c>
      <c r="L31" s="54" t="s">
        <v>285</v>
      </c>
      <c r="M31" s="59" t="n">
        <v>0.3</v>
      </c>
      <c r="N31" s="69" t="n">
        <v>17</v>
      </c>
      <c r="O31" s="61" t="s">
        <v>318</v>
      </c>
      <c r="P31" s="58" t="n">
        <v>800</v>
      </c>
      <c r="Q31" s="58" t="n">
        <v>240</v>
      </c>
      <c r="R31" s="62" t="n">
        <v>0</v>
      </c>
      <c r="S31" s="58" t="n">
        <v>0</v>
      </c>
      <c r="T31" s="58" t="n">
        <v>560</v>
      </c>
      <c r="U31" s="63" t="n">
        <v>0</v>
      </c>
      <c r="V31" s="54" t="n">
        <v>2022</v>
      </c>
    </row>
    <row r="32" customFormat="false" ht="15" hidden="false" customHeight="true" outlineLevel="0" collapsed="false">
      <c r="A32" s="45" t="s">
        <v>334</v>
      </c>
      <c r="B32" s="45" t="n">
        <v>40</v>
      </c>
      <c r="C32" s="45" t="s">
        <v>273</v>
      </c>
      <c r="D32" s="46" t="s">
        <v>274</v>
      </c>
      <c r="E32" s="46" t="s">
        <v>289</v>
      </c>
      <c r="F32" s="47" t="s">
        <v>283</v>
      </c>
      <c r="G32" s="46" t="s">
        <v>284</v>
      </c>
      <c r="H32" s="48" t="n">
        <v>1332</v>
      </c>
      <c r="I32" s="45" t="n">
        <v>2019</v>
      </c>
      <c r="J32" s="45" t="n">
        <v>5</v>
      </c>
      <c r="K32" s="49" t="n">
        <v>20000</v>
      </c>
      <c r="L32" s="45" t="s">
        <v>285</v>
      </c>
      <c r="M32" s="50" t="n">
        <v>0.3</v>
      </c>
      <c r="N32" s="64" t="n">
        <v>16</v>
      </c>
      <c r="O32" s="65" t="s">
        <v>279</v>
      </c>
      <c r="P32" s="49" t="n">
        <v>900</v>
      </c>
      <c r="Q32" s="49" t="n">
        <v>270</v>
      </c>
      <c r="R32" s="53" t="n">
        <v>0</v>
      </c>
      <c r="S32" s="49" t="n">
        <v>0</v>
      </c>
      <c r="T32" s="49" t="n">
        <v>630</v>
      </c>
      <c r="U32" s="51" t="n">
        <v>0</v>
      </c>
      <c r="V32" s="45" t="n">
        <v>2023</v>
      </c>
    </row>
    <row r="33" customFormat="false" ht="15" hidden="false" customHeight="true" outlineLevel="0" collapsed="false">
      <c r="A33" s="54" t="s">
        <v>335</v>
      </c>
      <c r="B33" s="54" t="n">
        <v>43</v>
      </c>
      <c r="C33" s="54" t="s">
        <v>288</v>
      </c>
      <c r="D33" s="55" t="s">
        <v>293</v>
      </c>
      <c r="E33" s="55" t="s">
        <v>336</v>
      </c>
      <c r="F33" s="56" t="s">
        <v>302</v>
      </c>
      <c r="G33" s="55" t="s">
        <v>326</v>
      </c>
      <c r="H33" s="57" t="n">
        <v>1496</v>
      </c>
      <c r="I33" s="54" t="n">
        <v>2016</v>
      </c>
      <c r="J33" s="54" t="n">
        <v>8</v>
      </c>
      <c r="K33" s="58" t="n">
        <v>61000</v>
      </c>
      <c r="L33" s="54" t="s">
        <v>285</v>
      </c>
      <c r="M33" s="59" t="n">
        <v>0</v>
      </c>
      <c r="N33" s="60" t="n">
        <v>12</v>
      </c>
      <c r="O33" s="61" t="s">
        <v>279</v>
      </c>
      <c r="P33" s="58" t="n">
        <v>2700</v>
      </c>
      <c r="Q33" s="58" t="n">
        <v>0</v>
      </c>
      <c r="R33" s="62" t="n">
        <v>0</v>
      </c>
      <c r="S33" s="58" t="n">
        <v>0</v>
      </c>
      <c r="T33" s="58" t="n">
        <v>2700</v>
      </c>
      <c r="U33" s="63" t="n">
        <v>0</v>
      </c>
      <c r="V33" s="54" t="n">
        <v>2024</v>
      </c>
    </row>
    <row r="34" customFormat="false" ht="15" hidden="false" customHeight="true" outlineLevel="0" collapsed="false">
      <c r="A34" s="45" t="s">
        <v>337</v>
      </c>
      <c r="B34" s="45" t="n">
        <v>23</v>
      </c>
      <c r="C34" s="45" t="s">
        <v>273</v>
      </c>
      <c r="D34" s="46" t="s">
        <v>274</v>
      </c>
      <c r="E34" s="46" t="s">
        <v>301</v>
      </c>
      <c r="F34" s="47" t="s">
        <v>283</v>
      </c>
      <c r="G34" s="46" t="s">
        <v>338</v>
      </c>
      <c r="H34" s="48" t="n">
        <v>1600</v>
      </c>
      <c r="I34" s="45" t="n">
        <v>2023</v>
      </c>
      <c r="J34" s="45" t="n">
        <v>1</v>
      </c>
      <c r="K34" s="49" t="n">
        <v>18000</v>
      </c>
      <c r="L34" s="45" t="s">
        <v>285</v>
      </c>
      <c r="M34" s="50" t="n">
        <v>0.55</v>
      </c>
      <c r="N34" s="64" t="n">
        <v>11</v>
      </c>
      <c r="O34" s="65" t="s">
        <v>279</v>
      </c>
      <c r="P34" s="49" t="n">
        <v>900</v>
      </c>
      <c r="Q34" s="49" t="n">
        <v>495</v>
      </c>
      <c r="R34" s="53" t="n">
        <v>0</v>
      </c>
      <c r="S34" s="49" t="n">
        <v>0</v>
      </c>
      <c r="T34" s="49" t="n">
        <v>405</v>
      </c>
      <c r="U34" s="51" t="n">
        <v>0</v>
      </c>
      <c r="V34" s="45" t="n">
        <v>2023</v>
      </c>
    </row>
    <row r="35" customFormat="false" ht="15" hidden="false" customHeight="true" outlineLevel="0" collapsed="false">
      <c r="A35" s="54" t="s">
        <v>339</v>
      </c>
      <c r="B35" s="54" t="n">
        <v>44</v>
      </c>
      <c r="C35" s="54" t="s">
        <v>288</v>
      </c>
      <c r="D35" s="55" t="s">
        <v>307</v>
      </c>
      <c r="E35" s="55" t="s">
        <v>301</v>
      </c>
      <c r="F35" s="56" t="s">
        <v>276</v>
      </c>
      <c r="G35" s="55" t="s">
        <v>314</v>
      </c>
      <c r="H35" s="57" t="n">
        <v>850</v>
      </c>
      <c r="I35" s="54" t="n">
        <v>2020</v>
      </c>
      <c r="J35" s="54" t="n">
        <v>4</v>
      </c>
      <c r="K35" s="58" t="n">
        <v>20000</v>
      </c>
      <c r="L35" s="54" t="s">
        <v>285</v>
      </c>
      <c r="M35" s="59" t="n">
        <v>0.55</v>
      </c>
      <c r="N35" s="60" t="n">
        <v>9</v>
      </c>
      <c r="O35" s="61" t="s">
        <v>279</v>
      </c>
      <c r="P35" s="58" t="n">
        <v>800</v>
      </c>
      <c r="Q35" s="58" t="n">
        <v>440</v>
      </c>
      <c r="R35" s="62" t="n">
        <v>0</v>
      </c>
      <c r="S35" s="58" t="n">
        <v>0</v>
      </c>
      <c r="T35" s="58" t="n">
        <v>360</v>
      </c>
      <c r="U35" s="63" t="n">
        <v>0</v>
      </c>
      <c r="V35" s="54" t="n">
        <v>2022</v>
      </c>
    </row>
    <row r="36" customFormat="false" ht="15" hidden="false" customHeight="true" outlineLevel="0" collapsed="false">
      <c r="A36" s="45" t="s">
        <v>340</v>
      </c>
      <c r="B36" s="45" t="n">
        <v>28</v>
      </c>
      <c r="C36" s="45" t="s">
        <v>273</v>
      </c>
      <c r="D36" s="46" t="s">
        <v>293</v>
      </c>
      <c r="E36" s="46" t="s">
        <v>282</v>
      </c>
      <c r="F36" s="47" t="s">
        <v>302</v>
      </c>
      <c r="G36" s="46" t="s">
        <v>303</v>
      </c>
      <c r="H36" s="48" t="n">
        <v>1498</v>
      </c>
      <c r="I36" s="45" t="n">
        <v>2024</v>
      </c>
      <c r="J36" s="45" t="n">
        <v>0</v>
      </c>
      <c r="K36" s="49" t="n">
        <v>97000</v>
      </c>
      <c r="L36" s="45" t="s">
        <v>278</v>
      </c>
      <c r="M36" s="50" t="n">
        <v>0.25</v>
      </c>
      <c r="N36" s="64" t="n">
        <v>9</v>
      </c>
      <c r="O36" s="65" t="s">
        <v>279</v>
      </c>
      <c r="P36" s="49" t="n">
        <v>5300</v>
      </c>
      <c r="Q36" s="49" t="n">
        <v>1325</v>
      </c>
      <c r="R36" s="53" t="n">
        <v>0</v>
      </c>
      <c r="S36" s="49" t="n">
        <v>0</v>
      </c>
      <c r="T36" s="49" t="n">
        <v>3975</v>
      </c>
      <c r="U36" s="51" t="n">
        <v>0</v>
      </c>
      <c r="V36" s="45" t="n">
        <v>2022</v>
      </c>
    </row>
    <row r="37" customFormat="false" ht="15" hidden="false" customHeight="true" outlineLevel="0" collapsed="false">
      <c r="A37" s="54" t="s">
        <v>341</v>
      </c>
      <c r="B37" s="54" t="n">
        <v>23</v>
      </c>
      <c r="C37" s="54" t="s">
        <v>288</v>
      </c>
      <c r="D37" s="55" t="s">
        <v>274</v>
      </c>
      <c r="E37" s="55" t="s">
        <v>322</v>
      </c>
      <c r="F37" s="56" t="s">
        <v>276</v>
      </c>
      <c r="G37" s="55" t="s">
        <v>277</v>
      </c>
      <c r="H37" s="57" t="n">
        <v>1300</v>
      </c>
      <c r="I37" s="54" t="n">
        <v>2021</v>
      </c>
      <c r="J37" s="54" t="n">
        <v>3</v>
      </c>
      <c r="K37" s="58" t="n">
        <v>37000</v>
      </c>
      <c r="L37" s="54" t="s">
        <v>285</v>
      </c>
      <c r="M37" s="59" t="n">
        <v>0.55</v>
      </c>
      <c r="N37" s="60" t="n">
        <v>12</v>
      </c>
      <c r="O37" s="61" t="s">
        <v>279</v>
      </c>
      <c r="P37" s="58" t="n">
        <v>1600</v>
      </c>
      <c r="Q37" s="58" t="n">
        <v>880</v>
      </c>
      <c r="R37" s="62" t="n">
        <v>0</v>
      </c>
      <c r="S37" s="58" t="n">
        <v>0</v>
      </c>
      <c r="T37" s="58" t="n">
        <v>720</v>
      </c>
      <c r="U37" s="63" t="n">
        <v>0</v>
      </c>
      <c r="V37" s="54" t="n">
        <v>2024</v>
      </c>
    </row>
    <row r="38" customFormat="false" ht="15" hidden="false" customHeight="true" outlineLevel="0" collapsed="false">
      <c r="A38" s="45" t="s">
        <v>342</v>
      </c>
      <c r="B38" s="45" t="n">
        <v>64</v>
      </c>
      <c r="C38" s="45" t="s">
        <v>273</v>
      </c>
      <c r="D38" s="46" t="s">
        <v>293</v>
      </c>
      <c r="E38" s="46" t="s">
        <v>289</v>
      </c>
      <c r="F38" s="47" t="s">
        <v>276</v>
      </c>
      <c r="G38" s="46" t="s">
        <v>343</v>
      </c>
      <c r="H38" s="48" t="n">
        <v>1300</v>
      </c>
      <c r="I38" s="45" t="n">
        <v>2018</v>
      </c>
      <c r="J38" s="45" t="n">
        <v>6</v>
      </c>
      <c r="K38" s="49" t="n">
        <v>34000</v>
      </c>
      <c r="L38" s="45" t="s">
        <v>285</v>
      </c>
      <c r="M38" s="50" t="n">
        <v>0.3</v>
      </c>
      <c r="N38" s="64" t="n">
        <v>10</v>
      </c>
      <c r="O38" s="65" t="s">
        <v>279</v>
      </c>
      <c r="P38" s="49" t="n">
        <v>1500</v>
      </c>
      <c r="Q38" s="49" t="n">
        <v>450</v>
      </c>
      <c r="R38" s="53" t="n">
        <v>0</v>
      </c>
      <c r="S38" s="49" t="n">
        <v>0</v>
      </c>
      <c r="T38" s="49" t="n">
        <v>1050</v>
      </c>
      <c r="U38" s="51" t="n">
        <v>0</v>
      </c>
      <c r="V38" s="45" t="n">
        <v>2024</v>
      </c>
    </row>
    <row r="39" customFormat="false" ht="15" hidden="false" customHeight="true" outlineLevel="0" collapsed="false">
      <c r="A39" s="54" t="s">
        <v>344</v>
      </c>
      <c r="B39" s="54" t="n">
        <v>65</v>
      </c>
      <c r="C39" s="54" t="s">
        <v>273</v>
      </c>
      <c r="D39" s="55" t="s">
        <v>293</v>
      </c>
      <c r="E39" s="55" t="s">
        <v>275</v>
      </c>
      <c r="F39" s="56" t="s">
        <v>276</v>
      </c>
      <c r="G39" s="55" t="s">
        <v>314</v>
      </c>
      <c r="H39" s="57" t="n">
        <v>850</v>
      </c>
      <c r="I39" s="54" t="n">
        <v>2019</v>
      </c>
      <c r="J39" s="54" t="n">
        <v>5</v>
      </c>
      <c r="K39" s="58" t="n">
        <v>15000</v>
      </c>
      <c r="L39" s="54" t="s">
        <v>285</v>
      </c>
      <c r="M39" s="59" t="n">
        <v>0.45</v>
      </c>
      <c r="N39" s="60" t="n">
        <v>14</v>
      </c>
      <c r="O39" s="61" t="s">
        <v>279</v>
      </c>
      <c r="P39" s="58" t="n">
        <v>800</v>
      </c>
      <c r="Q39" s="58" t="n">
        <v>360</v>
      </c>
      <c r="R39" s="62" t="n">
        <v>0</v>
      </c>
      <c r="S39" s="58" t="n">
        <v>0</v>
      </c>
      <c r="T39" s="58" t="n">
        <v>440</v>
      </c>
      <c r="U39" s="63" t="n">
        <v>0</v>
      </c>
      <c r="V39" s="54" t="n">
        <v>2022</v>
      </c>
    </row>
    <row r="40" customFormat="false" ht="15" hidden="false" customHeight="true" outlineLevel="0" collapsed="false">
      <c r="A40" s="45" t="s">
        <v>345</v>
      </c>
      <c r="B40" s="45" t="n">
        <v>53</v>
      </c>
      <c r="C40" s="45" t="s">
        <v>273</v>
      </c>
      <c r="D40" s="46" t="s">
        <v>305</v>
      </c>
      <c r="E40" s="46" t="s">
        <v>275</v>
      </c>
      <c r="F40" s="47" t="s">
        <v>283</v>
      </c>
      <c r="G40" s="46" t="s">
        <v>284</v>
      </c>
      <c r="H40" s="48" t="n">
        <v>1332</v>
      </c>
      <c r="I40" s="45" t="n">
        <v>2019</v>
      </c>
      <c r="J40" s="45" t="n">
        <v>5</v>
      </c>
      <c r="K40" s="49" t="n">
        <v>14000</v>
      </c>
      <c r="L40" s="45" t="s">
        <v>285</v>
      </c>
      <c r="M40" s="50" t="n">
        <v>0.3</v>
      </c>
      <c r="N40" s="64" t="n">
        <v>11</v>
      </c>
      <c r="O40" s="65" t="s">
        <v>279</v>
      </c>
      <c r="P40" s="49" t="n">
        <v>800</v>
      </c>
      <c r="Q40" s="49" t="n">
        <v>240</v>
      </c>
      <c r="R40" s="53" t="n">
        <v>0</v>
      </c>
      <c r="S40" s="49" t="n">
        <v>0</v>
      </c>
      <c r="T40" s="49" t="n">
        <v>560</v>
      </c>
      <c r="U40" s="51" t="n">
        <v>0</v>
      </c>
      <c r="V40" s="45" t="n">
        <v>2023</v>
      </c>
    </row>
    <row r="41" customFormat="false" ht="15" hidden="false" customHeight="true" outlineLevel="0" collapsed="false">
      <c r="A41" s="54" t="s">
        <v>346</v>
      </c>
      <c r="B41" s="54" t="n">
        <v>33</v>
      </c>
      <c r="C41" s="54" t="s">
        <v>273</v>
      </c>
      <c r="D41" s="55" t="s">
        <v>293</v>
      </c>
      <c r="E41" s="55" t="s">
        <v>282</v>
      </c>
      <c r="F41" s="56" t="s">
        <v>276</v>
      </c>
      <c r="G41" s="55" t="s">
        <v>277</v>
      </c>
      <c r="H41" s="57" t="n">
        <v>1300</v>
      </c>
      <c r="I41" s="54" t="n">
        <v>2021</v>
      </c>
      <c r="J41" s="54" t="n">
        <v>3</v>
      </c>
      <c r="K41" s="58" t="n">
        <v>18000</v>
      </c>
      <c r="L41" s="54" t="s">
        <v>278</v>
      </c>
      <c r="M41" s="59" t="n">
        <v>0.3833</v>
      </c>
      <c r="N41" s="60" t="n">
        <v>15</v>
      </c>
      <c r="O41" s="61" t="s">
        <v>279</v>
      </c>
      <c r="P41" s="58" t="n">
        <v>1000</v>
      </c>
      <c r="Q41" s="58" t="n">
        <v>383</v>
      </c>
      <c r="R41" s="62" t="n">
        <v>0</v>
      </c>
      <c r="S41" s="58" t="n">
        <v>0</v>
      </c>
      <c r="T41" s="58" t="n">
        <v>617</v>
      </c>
      <c r="U41" s="63" t="n">
        <v>0</v>
      </c>
      <c r="V41" s="54" t="n">
        <v>2023</v>
      </c>
    </row>
    <row r="42" customFormat="false" ht="15" hidden="false" customHeight="true" outlineLevel="0" collapsed="false">
      <c r="A42" s="45" t="s">
        <v>347</v>
      </c>
      <c r="B42" s="45" t="n">
        <v>25</v>
      </c>
      <c r="C42" s="45" t="s">
        <v>273</v>
      </c>
      <c r="D42" s="46" t="s">
        <v>330</v>
      </c>
      <c r="E42" s="46" t="s">
        <v>336</v>
      </c>
      <c r="F42" s="47" t="s">
        <v>283</v>
      </c>
      <c r="G42" s="46" t="s">
        <v>284</v>
      </c>
      <c r="H42" s="48" t="n">
        <v>1332</v>
      </c>
      <c r="I42" s="45" t="n">
        <v>2016</v>
      </c>
      <c r="J42" s="45" t="n">
        <v>8</v>
      </c>
      <c r="K42" s="49" t="n">
        <v>29000</v>
      </c>
      <c r="L42" s="45" t="s">
        <v>285</v>
      </c>
      <c r="M42" s="50" t="n">
        <v>0.3</v>
      </c>
      <c r="N42" s="64" t="n">
        <v>15</v>
      </c>
      <c r="O42" s="65" t="s">
        <v>279</v>
      </c>
      <c r="P42" s="49" t="n">
        <v>1300</v>
      </c>
      <c r="Q42" s="49" t="n">
        <v>390</v>
      </c>
      <c r="R42" s="53" t="n">
        <v>0</v>
      </c>
      <c r="S42" s="49" t="n">
        <v>0</v>
      </c>
      <c r="T42" s="49" t="n">
        <v>910</v>
      </c>
      <c r="U42" s="51" t="n">
        <v>0</v>
      </c>
      <c r="V42" s="45" t="n">
        <v>2024</v>
      </c>
    </row>
    <row r="43" customFormat="false" ht="15" hidden="false" customHeight="true" outlineLevel="0" collapsed="false">
      <c r="A43" s="54" t="s">
        <v>348</v>
      </c>
      <c r="B43" s="54" t="n">
        <v>48</v>
      </c>
      <c r="C43" s="54" t="s">
        <v>273</v>
      </c>
      <c r="D43" s="55" t="s">
        <v>307</v>
      </c>
      <c r="E43" s="55" t="s">
        <v>275</v>
      </c>
      <c r="F43" s="56" t="s">
        <v>283</v>
      </c>
      <c r="G43" s="55" t="s">
        <v>349</v>
      </c>
      <c r="H43" s="57" t="n">
        <v>1498</v>
      </c>
      <c r="I43" s="54" t="n">
        <v>2021</v>
      </c>
      <c r="J43" s="54" t="n">
        <v>3</v>
      </c>
      <c r="K43" s="58" t="n">
        <v>52000</v>
      </c>
      <c r="L43" s="54" t="s">
        <v>278</v>
      </c>
      <c r="M43" s="59" t="n">
        <v>0.45</v>
      </c>
      <c r="N43" s="60" t="n">
        <v>9</v>
      </c>
      <c r="O43" s="61" t="s">
        <v>279</v>
      </c>
      <c r="P43" s="58" t="n">
        <v>2900</v>
      </c>
      <c r="Q43" s="58" t="n">
        <v>1305</v>
      </c>
      <c r="R43" s="62" t="n">
        <v>0</v>
      </c>
      <c r="S43" s="58" t="n">
        <v>0</v>
      </c>
      <c r="T43" s="58" t="n">
        <v>1595</v>
      </c>
      <c r="U43" s="63" t="n">
        <v>0</v>
      </c>
      <c r="V43" s="54" t="n">
        <v>2022</v>
      </c>
    </row>
    <row r="44" customFormat="false" ht="15" hidden="false" customHeight="true" outlineLevel="0" collapsed="false">
      <c r="A44" s="45" t="s">
        <v>350</v>
      </c>
      <c r="B44" s="45" t="n">
        <v>37</v>
      </c>
      <c r="C44" s="45" t="s">
        <v>273</v>
      </c>
      <c r="D44" s="46" t="s">
        <v>281</v>
      </c>
      <c r="E44" s="46" t="s">
        <v>301</v>
      </c>
      <c r="F44" s="47" t="s">
        <v>283</v>
      </c>
      <c r="G44" s="46" t="s">
        <v>284</v>
      </c>
      <c r="H44" s="48" t="n">
        <v>1332</v>
      </c>
      <c r="I44" s="45" t="n">
        <v>2020</v>
      </c>
      <c r="J44" s="45" t="n">
        <v>4</v>
      </c>
      <c r="K44" s="49" t="n">
        <v>24000</v>
      </c>
      <c r="L44" s="45" t="s">
        <v>285</v>
      </c>
      <c r="M44" s="50" t="n">
        <v>0.25</v>
      </c>
      <c r="N44" s="64" t="n">
        <v>12</v>
      </c>
      <c r="O44" s="65" t="s">
        <v>279</v>
      </c>
      <c r="P44" s="49" t="n">
        <v>1100</v>
      </c>
      <c r="Q44" s="49" t="n">
        <v>275</v>
      </c>
      <c r="R44" s="53" t="n">
        <v>0</v>
      </c>
      <c r="S44" s="49" t="n">
        <v>0</v>
      </c>
      <c r="T44" s="49" t="n">
        <v>825</v>
      </c>
      <c r="U44" s="51" t="n">
        <v>0</v>
      </c>
      <c r="V44" s="45" t="n">
        <v>2024</v>
      </c>
    </row>
    <row r="45" customFormat="false" ht="15" hidden="false" customHeight="true" outlineLevel="0" collapsed="false">
      <c r="A45" s="54" t="s">
        <v>351</v>
      </c>
      <c r="B45" s="54" t="n">
        <v>26</v>
      </c>
      <c r="C45" s="54" t="s">
        <v>273</v>
      </c>
      <c r="D45" s="55" t="s">
        <v>307</v>
      </c>
      <c r="E45" s="55" t="s">
        <v>275</v>
      </c>
      <c r="F45" s="56" t="s">
        <v>283</v>
      </c>
      <c r="G45" s="55" t="s">
        <v>349</v>
      </c>
      <c r="H45" s="57" t="n">
        <v>1498</v>
      </c>
      <c r="I45" s="54" t="n">
        <v>2024</v>
      </c>
      <c r="J45" s="54" t="n">
        <v>0</v>
      </c>
      <c r="K45" s="58" t="n">
        <v>38000</v>
      </c>
      <c r="L45" s="54" t="s">
        <v>285</v>
      </c>
      <c r="M45" s="59" t="n">
        <v>0.55</v>
      </c>
      <c r="N45" s="69" t="n">
        <v>17</v>
      </c>
      <c r="O45" s="61" t="s">
        <v>318</v>
      </c>
      <c r="P45" s="58" t="n">
        <v>1700</v>
      </c>
      <c r="Q45" s="58" t="n">
        <v>935</v>
      </c>
      <c r="R45" s="62" t="n">
        <v>0</v>
      </c>
      <c r="S45" s="58" t="n">
        <v>0</v>
      </c>
      <c r="T45" s="58" t="n">
        <v>765</v>
      </c>
      <c r="U45" s="63" t="n">
        <v>0</v>
      </c>
      <c r="V45" s="54" t="n">
        <v>2022</v>
      </c>
    </row>
    <row r="46" customFormat="false" ht="15" hidden="false" customHeight="true" outlineLevel="0" collapsed="false">
      <c r="A46" s="45" t="s">
        <v>132</v>
      </c>
      <c r="B46" s="45" t="n">
        <v>39</v>
      </c>
      <c r="C46" s="45" t="s">
        <v>273</v>
      </c>
      <c r="D46" s="46" t="s">
        <v>274</v>
      </c>
      <c r="E46" s="46" t="s">
        <v>275</v>
      </c>
      <c r="F46" s="47" t="s">
        <v>276</v>
      </c>
      <c r="G46" s="46" t="s">
        <v>343</v>
      </c>
      <c r="H46" s="48" t="n">
        <v>1300</v>
      </c>
      <c r="I46" s="45" t="n">
        <v>2016</v>
      </c>
      <c r="J46" s="45" t="n">
        <v>8</v>
      </c>
      <c r="K46" s="49" t="n">
        <v>26000</v>
      </c>
      <c r="L46" s="45" t="s">
        <v>278</v>
      </c>
      <c r="M46" s="50" t="n">
        <v>0.45</v>
      </c>
      <c r="N46" s="64" t="n">
        <v>13</v>
      </c>
      <c r="O46" s="65" t="s">
        <v>279</v>
      </c>
      <c r="P46" s="49" t="n">
        <v>1400</v>
      </c>
      <c r="Q46" s="49" t="n">
        <v>630</v>
      </c>
      <c r="R46" s="53" t="n">
        <v>0</v>
      </c>
      <c r="S46" s="49" t="n">
        <v>0</v>
      </c>
      <c r="T46" s="49" t="n">
        <v>770</v>
      </c>
      <c r="U46" s="51" t="n">
        <v>0</v>
      </c>
      <c r="V46" s="45" t="n">
        <v>2022</v>
      </c>
    </row>
    <row r="47" customFormat="false" ht="15" hidden="false" customHeight="true" outlineLevel="0" collapsed="false">
      <c r="A47" s="54" t="s">
        <v>352</v>
      </c>
      <c r="B47" s="54" t="n">
        <v>22</v>
      </c>
      <c r="C47" s="54" t="s">
        <v>273</v>
      </c>
      <c r="D47" s="55" t="s">
        <v>307</v>
      </c>
      <c r="E47" s="55" t="s">
        <v>289</v>
      </c>
      <c r="F47" s="56" t="s">
        <v>298</v>
      </c>
      <c r="G47" s="55" t="s">
        <v>299</v>
      </c>
      <c r="H47" s="57" t="n">
        <v>1496</v>
      </c>
      <c r="I47" s="54" t="n">
        <v>2016</v>
      </c>
      <c r="J47" s="54" t="n">
        <v>8</v>
      </c>
      <c r="K47" s="58" t="n">
        <v>64000</v>
      </c>
      <c r="L47" s="54" t="s">
        <v>285</v>
      </c>
      <c r="M47" s="59" t="n">
        <v>0.55</v>
      </c>
      <c r="N47" s="69" t="n">
        <v>18</v>
      </c>
      <c r="O47" s="61" t="s">
        <v>318</v>
      </c>
      <c r="P47" s="58" t="n">
        <v>2800</v>
      </c>
      <c r="Q47" s="58" t="n">
        <v>1540</v>
      </c>
      <c r="R47" s="62" t="n">
        <v>0</v>
      </c>
      <c r="S47" s="58" t="n">
        <v>0</v>
      </c>
      <c r="T47" s="58" t="n">
        <v>1260</v>
      </c>
      <c r="U47" s="63" t="n">
        <v>0</v>
      </c>
      <c r="V47" s="54" t="n">
        <v>2023</v>
      </c>
    </row>
    <row r="48" customFormat="false" ht="15" hidden="false" customHeight="true" outlineLevel="0" collapsed="false">
      <c r="A48" s="45" t="s">
        <v>353</v>
      </c>
      <c r="B48" s="45" t="n">
        <v>60</v>
      </c>
      <c r="C48" s="45" t="s">
        <v>273</v>
      </c>
      <c r="D48" s="46" t="s">
        <v>305</v>
      </c>
      <c r="E48" s="46" t="s">
        <v>289</v>
      </c>
      <c r="F48" s="47" t="s">
        <v>276</v>
      </c>
      <c r="G48" s="46" t="s">
        <v>314</v>
      </c>
      <c r="H48" s="48" t="n">
        <v>850</v>
      </c>
      <c r="I48" s="45" t="n">
        <v>2022</v>
      </c>
      <c r="J48" s="45" t="n">
        <v>2</v>
      </c>
      <c r="K48" s="49" t="n">
        <v>18000</v>
      </c>
      <c r="L48" s="45" t="s">
        <v>278</v>
      </c>
      <c r="M48" s="50" t="n">
        <v>0.45</v>
      </c>
      <c r="N48" s="64" t="n">
        <v>12</v>
      </c>
      <c r="O48" s="65" t="s">
        <v>279</v>
      </c>
      <c r="P48" s="49" t="n">
        <v>800</v>
      </c>
      <c r="Q48" s="49" t="n">
        <v>360</v>
      </c>
      <c r="R48" s="53" t="n">
        <v>0</v>
      </c>
      <c r="S48" s="49" t="n">
        <v>0</v>
      </c>
      <c r="T48" s="49" t="n">
        <v>440</v>
      </c>
      <c r="U48" s="51" t="n">
        <v>0</v>
      </c>
      <c r="V48" s="45" t="n">
        <v>2024</v>
      </c>
    </row>
    <row r="49" customFormat="false" ht="15" hidden="false" customHeight="true" outlineLevel="0" collapsed="false">
      <c r="A49" s="54" t="s">
        <v>354</v>
      </c>
      <c r="B49" s="54" t="n">
        <v>31</v>
      </c>
      <c r="C49" s="54" t="s">
        <v>288</v>
      </c>
      <c r="D49" s="55" t="s">
        <v>293</v>
      </c>
      <c r="E49" s="55" t="s">
        <v>336</v>
      </c>
      <c r="F49" s="56" t="s">
        <v>276</v>
      </c>
      <c r="G49" s="55" t="s">
        <v>343</v>
      </c>
      <c r="H49" s="57" t="n">
        <v>1300</v>
      </c>
      <c r="I49" s="54" t="n">
        <v>2017</v>
      </c>
      <c r="J49" s="54" t="n">
        <v>7</v>
      </c>
      <c r="K49" s="58" t="n">
        <v>32000</v>
      </c>
      <c r="L49" s="54" t="s">
        <v>285</v>
      </c>
      <c r="M49" s="59" t="n">
        <v>0.3</v>
      </c>
      <c r="N49" s="60" t="n">
        <v>9</v>
      </c>
      <c r="O49" s="61" t="s">
        <v>279</v>
      </c>
      <c r="P49" s="58" t="n">
        <v>1400</v>
      </c>
      <c r="Q49" s="58" t="n">
        <v>420</v>
      </c>
      <c r="R49" s="62" t="n">
        <v>0</v>
      </c>
      <c r="S49" s="58" t="n">
        <v>0</v>
      </c>
      <c r="T49" s="58" t="n">
        <v>980</v>
      </c>
      <c r="U49" s="63" t="n">
        <v>0</v>
      </c>
      <c r="V49" s="54" t="n">
        <v>2023</v>
      </c>
    </row>
    <row r="50" customFormat="false" ht="15" hidden="false" customHeight="true" outlineLevel="0" collapsed="false">
      <c r="A50" s="45" t="s">
        <v>355</v>
      </c>
      <c r="B50" s="45" t="n">
        <v>47</v>
      </c>
      <c r="C50" s="45" t="s">
        <v>288</v>
      </c>
      <c r="D50" s="46" t="s">
        <v>293</v>
      </c>
      <c r="E50" s="46" t="s">
        <v>275</v>
      </c>
      <c r="F50" s="47" t="s">
        <v>276</v>
      </c>
      <c r="G50" s="46" t="s">
        <v>343</v>
      </c>
      <c r="H50" s="48" t="n">
        <v>1300</v>
      </c>
      <c r="I50" s="45" t="n">
        <v>2019</v>
      </c>
      <c r="J50" s="45" t="n">
        <v>5</v>
      </c>
      <c r="K50" s="49" t="n">
        <v>21000</v>
      </c>
      <c r="L50" s="45" t="s">
        <v>285</v>
      </c>
      <c r="M50" s="50" t="n">
        <v>0.55</v>
      </c>
      <c r="N50" s="51" t="n">
        <v>7</v>
      </c>
      <c r="O50" s="52" t="s">
        <v>286</v>
      </c>
      <c r="P50" s="49" t="n">
        <v>900</v>
      </c>
      <c r="Q50" s="49" t="n">
        <v>495</v>
      </c>
      <c r="R50" s="53" t="n">
        <v>0</v>
      </c>
      <c r="S50" s="49" t="n">
        <v>0</v>
      </c>
      <c r="T50" s="49" t="n">
        <v>405</v>
      </c>
      <c r="U50" s="51" t="n">
        <v>0</v>
      </c>
      <c r="V50" s="45" t="n">
        <v>2022</v>
      </c>
    </row>
    <row r="51" customFormat="false" ht="15" hidden="false" customHeight="true" outlineLevel="0" collapsed="false">
      <c r="A51" s="54" t="s">
        <v>356</v>
      </c>
      <c r="B51" s="54" t="n">
        <v>33</v>
      </c>
      <c r="C51" s="54" t="s">
        <v>288</v>
      </c>
      <c r="D51" s="55" t="s">
        <v>307</v>
      </c>
      <c r="E51" s="55" t="s">
        <v>322</v>
      </c>
      <c r="F51" s="56" t="s">
        <v>276</v>
      </c>
      <c r="G51" s="55" t="s">
        <v>314</v>
      </c>
      <c r="H51" s="57" t="n">
        <v>850</v>
      </c>
      <c r="I51" s="54" t="n">
        <v>2021</v>
      </c>
      <c r="J51" s="54" t="n">
        <v>3</v>
      </c>
      <c r="K51" s="58" t="n">
        <v>15000</v>
      </c>
      <c r="L51" s="54" t="s">
        <v>285</v>
      </c>
      <c r="M51" s="59" t="n">
        <v>0</v>
      </c>
      <c r="N51" s="60" t="n">
        <v>10</v>
      </c>
      <c r="O51" s="61" t="s">
        <v>279</v>
      </c>
      <c r="P51" s="58" t="n">
        <v>800</v>
      </c>
      <c r="Q51" s="58" t="n">
        <v>0</v>
      </c>
      <c r="R51" s="62" t="n">
        <v>0</v>
      </c>
      <c r="S51" s="58" t="n">
        <v>0</v>
      </c>
      <c r="T51" s="58" t="n">
        <v>800</v>
      </c>
      <c r="U51" s="63" t="n">
        <v>0</v>
      </c>
      <c r="V51" s="54" t="n">
        <v>2023</v>
      </c>
    </row>
    <row r="52" customFormat="false" ht="15" hidden="false" customHeight="true" outlineLevel="0" collapsed="false">
      <c r="A52" s="45" t="s">
        <v>357</v>
      </c>
      <c r="B52" s="45" t="n">
        <v>40</v>
      </c>
      <c r="C52" s="45" t="s">
        <v>273</v>
      </c>
      <c r="D52" s="46" t="s">
        <v>305</v>
      </c>
      <c r="E52" s="46" t="s">
        <v>310</v>
      </c>
      <c r="F52" s="47" t="s">
        <v>276</v>
      </c>
      <c r="G52" s="46" t="s">
        <v>277</v>
      </c>
      <c r="H52" s="48" t="n">
        <v>1300</v>
      </c>
      <c r="I52" s="45" t="n">
        <v>2015</v>
      </c>
      <c r="J52" s="45" t="n">
        <v>9</v>
      </c>
      <c r="K52" s="49" t="n">
        <v>40000</v>
      </c>
      <c r="L52" s="45" t="s">
        <v>285</v>
      </c>
      <c r="M52" s="50" t="n">
        <v>0.3833</v>
      </c>
      <c r="N52" s="64" t="n">
        <v>13</v>
      </c>
      <c r="O52" s="65" t="s">
        <v>279</v>
      </c>
      <c r="P52" s="49" t="n">
        <v>1800</v>
      </c>
      <c r="Q52" s="49" t="n">
        <v>690</v>
      </c>
      <c r="R52" s="53" t="n">
        <v>0</v>
      </c>
      <c r="S52" s="49" t="n">
        <v>0</v>
      </c>
      <c r="T52" s="49" t="n">
        <v>1110</v>
      </c>
      <c r="U52" s="51" t="n">
        <v>0</v>
      </c>
      <c r="V52" s="45" t="n">
        <v>2024</v>
      </c>
    </row>
    <row r="53" customFormat="false" ht="15" hidden="false" customHeight="true" outlineLevel="0" collapsed="false">
      <c r="A53" s="54" t="s">
        <v>358</v>
      </c>
      <c r="B53" s="54" t="n">
        <v>41</v>
      </c>
      <c r="C53" s="54" t="s">
        <v>288</v>
      </c>
      <c r="D53" s="55" t="s">
        <v>309</v>
      </c>
      <c r="E53" s="55" t="s">
        <v>336</v>
      </c>
      <c r="F53" s="56" t="s">
        <v>276</v>
      </c>
      <c r="G53" s="55" t="s">
        <v>359</v>
      </c>
      <c r="H53" s="57" t="n">
        <v>1500</v>
      </c>
      <c r="I53" s="54" t="n">
        <v>2019</v>
      </c>
      <c r="J53" s="54" t="n">
        <v>5</v>
      </c>
      <c r="K53" s="58" t="n">
        <v>37000</v>
      </c>
      <c r="L53" s="54" t="s">
        <v>285</v>
      </c>
      <c r="M53" s="59" t="n">
        <v>0.3</v>
      </c>
      <c r="N53" s="60" t="n">
        <v>16</v>
      </c>
      <c r="O53" s="61" t="s">
        <v>279</v>
      </c>
      <c r="P53" s="58" t="n">
        <v>1600</v>
      </c>
      <c r="Q53" s="58" t="n">
        <v>480</v>
      </c>
      <c r="R53" s="62" t="n">
        <v>0</v>
      </c>
      <c r="S53" s="58" t="n">
        <v>0</v>
      </c>
      <c r="T53" s="58" t="n">
        <v>1120</v>
      </c>
      <c r="U53" s="63" t="n">
        <v>0</v>
      </c>
      <c r="V53" s="54" t="n">
        <v>2024</v>
      </c>
    </row>
    <row r="54" customFormat="false" ht="15" hidden="false" customHeight="true" outlineLevel="0" collapsed="false">
      <c r="A54" s="45" t="s">
        <v>360</v>
      </c>
      <c r="B54" s="45" t="n">
        <v>28</v>
      </c>
      <c r="C54" s="45" t="s">
        <v>273</v>
      </c>
      <c r="D54" s="46" t="s">
        <v>309</v>
      </c>
      <c r="E54" s="46" t="s">
        <v>336</v>
      </c>
      <c r="F54" s="47" t="s">
        <v>361</v>
      </c>
      <c r="G54" s="46" t="s">
        <v>362</v>
      </c>
      <c r="H54" s="48" t="n">
        <v>1591</v>
      </c>
      <c r="I54" s="45" t="n">
        <v>2023</v>
      </c>
      <c r="J54" s="45" t="n">
        <v>1</v>
      </c>
      <c r="K54" s="49" t="n">
        <v>34000</v>
      </c>
      <c r="L54" s="45" t="s">
        <v>285</v>
      </c>
      <c r="M54" s="50" t="n">
        <v>0.45</v>
      </c>
      <c r="N54" s="51" t="n">
        <v>7</v>
      </c>
      <c r="O54" s="52" t="s">
        <v>286</v>
      </c>
      <c r="P54" s="49" t="n">
        <v>1500</v>
      </c>
      <c r="Q54" s="49" t="n">
        <v>675</v>
      </c>
      <c r="R54" s="53" t="n">
        <v>0</v>
      </c>
      <c r="S54" s="49" t="n">
        <v>0</v>
      </c>
      <c r="T54" s="49" t="n">
        <v>825</v>
      </c>
      <c r="U54" s="51" t="n">
        <v>0</v>
      </c>
      <c r="V54" s="45" t="n">
        <v>2023</v>
      </c>
    </row>
    <row r="55" customFormat="false" ht="15" hidden="false" customHeight="true" outlineLevel="0" collapsed="false">
      <c r="A55" s="54" t="s">
        <v>363</v>
      </c>
      <c r="B55" s="54" t="n">
        <v>66</v>
      </c>
      <c r="C55" s="54" t="s">
        <v>273</v>
      </c>
      <c r="D55" s="55" t="s">
        <v>305</v>
      </c>
      <c r="E55" s="55" t="s">
        <v>275</v>
      </c>
      <c r="F55" s="56" t="s">
        <v>276</v>
      </c>
      <c r="G55" s="55" t="s">
        <v>277</v>
      </c>
      <c r="H55" s="57" t="n">
        <v>1300</v>
      </c>
      <c r="I55" s="54" t="n">
        <v>2020</v>
      </c>
      <c r="J55" s="54" t="n">
        <v>4</v>
      </c>
      <c r="K55" s="58" t="n">
        <v>23000</v>
      </c>
      <c r="L55" s="54" t="s">
        <v>285</v>
      </c>
      <c r="M55" s="59" t="n">
        <v>0.55</v>
      </c>
      <c r="N55" s="60" t="n">
        <v>12</v>
      </c>
      <c r="O55" s="61" t="s">
        <v>279</v>
      </c>
      <c r="P55" s="58" t="n">
        <v>1000</v>
      </c>
      <c r="Q55" s="58" t="n">
        <v>550</v>
      </c>
      <c r="R55" s="62" t="n">
        <v>0</v>
      </c>
      <c r="S55" s="58" t="n">
        <v>0</v>
      </c>
      <c r="T55" s="58" t="n">
        <v>450</v>
      </c>
      <c r="U55" s="63" t="n">
        <v>0</v>
      </c>
      <c r="V55" s="54" t="n">
        <v>2023</v>
      </c>
    </row>
    <row r="56" customFormat="false" ht="15" hidden="false" customHeight="true" outlineLevel="0" collapsed="false">
      <c r="A56" s="35" t="s">
        <v>364</v>
      </c>
      <c r="B56" s="35" t="n">
        <v>52</v>
      </c>
      <c r="C56" s="35" t="s">
        <v>273</v>
      </c>
      <c r="D56" s="36" t="s">
        <v>309</v>
      </c>
      <c r="E56" s="36" t="s">
        <v>301</v>
      </c>
      <c r="F56" s="37" t="s">
        <v>298</v>
      </c>
      <c r="G56" s="36" t="s">
        <v>299</v>
      </c>
      <c r="H56" s="38" t="n">
        <v>1496</v>
      </c>
      <c r="I56" s="35" t="n">
        <v>2015</v>
      </c>
      <c r="J56" s="35" t="n">
        <v>9</v>
      </c>
      <c r="K56" s="39" t="n">
        <v>74000</v>
      </c>
      <c r="L56" s="35" t="s">
        <v>285</v>
      </c>
      <c r="M56" s="40" t="n">
        <v>0.45</v>
      </c>
      <c r="N56" s="44" t="n">
        <v>17</v>
      </c>
      <c r="O56" s="42" t="s">
        <v>318</v>
      </c>
      <c r="P56" s="39" t="n">
        <v>3300</v>
      </c>
      <c r="Q56" s="39" t="n">
        <v>1485</v>
      </c>
      <c r="R56" s="43" t="n">
        <v>0</v>
      </c>
      <c r="S56" s="39" t="n">
        <v>0</v>
      </c>
      <c r="T56" s="39" t="n">
        <v>1815</v>
      </c>
      <c r="U56" s="44" t="n">
        <v>1</v>
      </c>
      <c r="V56" s="35" t="n">
        <v>2022</v>
      </c>
    </row>
    <row r="57" customFormat="false" ht="15" hidden="false" customHeight="true" outlineLevel="0" collapsed="false">
      <c r="A57" s="54" t="s">
        <v>365</v>
      </c>
      <c r="B57" s="54" t="n">
        <v>63</v>
      </c>
      <c r="C57" s="54" t="s">
        <v>273</v>
      </c>
      <c r="D57" s="55" t="s">
        <v>274</v>
      </c>
      <c r="E57" s="55" t="s">
        <v>289</v>
      </c>
      <c r="F57" s="56" t="s">
        <v>276</v>
      </c>
      <c r="G57" s="55" t="s">
        <v>314</v>
      </c>
      <c r="H57" s="57" t="n">
        <v>850</v>
      </c>
      <c r="I57" s="54" t="n">
        <v>2017</v>
      </c>
      <c r="J57" s="54" t="n">
        <v>7</v>
      </c>
      <c r="K57" s="58" t="n">
        <v>16000</v>
      </c>
      <c r="L57" s="54" t="s">
        <v>285</v>
      </c>
      <c r="M57" s="59" t="n">
        <v>0.55</v>
      </c>
      <c r="N57" s="60" t="n">
        <v>13</v>
      </c>
      <c r="O57" s="61" t="s">
        <v>279</v>
      </c>
      <c r="P57" s="58" t="n">
        <v>800</v>
      </c>
      <c r="Q57" s="58" t="n">
        <v>440</v>
      </c>
      <c r="R57" s="62" t="n">
        <v>0</v>
      </c>
      <c r="S57" s="58" t="n">
        <v>0</v>
      </c>
      <c r="T57" s="58" t="n">
        <v>360</v>
      </c>
      <c r="U57" s="63" t="n">
        <v>0</v>
      </c>
      <c r="V57" s="54" t="n">
        <v>2023</v>
      </c>
    </row>
    <row r="58" customFormat="false" ht="15" hidden="false" customHeight="true" outlineLevel="0" collapsed="false">
      <c r="A58" s="45" t="s">
        <v>366</v>
      </c>
      <c r="B58" s="45" t="n">
        <v>59</v>
      </c>
      <c r="C58" s="45" t="s">
        <v>273</v>
      </c>
      <c r="D58" s="46" t="s">
        <v>307</v>
      </c>
      <c r="E58" s="46" t="s">
        <v>294</v>
      </c>
      <c r="F58" s="47" t="s">
        <v>283</v>
      </c>
      <c r="G58" s="46" t="s">
        <v>338</v>
      </c>
      <c r="H58" s="48" t="n">
        <v>1600</v>
      </c>
      <c r="I58" s="45" t="n">
        <v>2017</v>
      </c>
      <c r="J58" s="45" t="n">
        <v>7</v>
      </c>
      <c r="K58" s="49" t="n">
        <v>46000</v>
      </c>
      <c r="L58" s="45" t="s">
        <v>285</v>
      </c>
      <c r="M58" s="50" t="n">
        <v>0</v>
      </c>
      <c r="N58" s="64" t="n">
        <v>11</v>
      </c>
      <c r="O58" s="65" t="s">
        <v>279</v>
      </c>
      <c r="P58" s="49" t="n">
        <v>2300</v>
      </c>
      <c r="Q58" s="49" t="n">
        <v>0</v>
      </c>
      <c r="R58" s="53" t="n">
        <v>0</v>
      </c>
      <c r="S58" s="49" t="n">
        <v>0</v>
      </c>
      <c r="T58" s="49" t="n">
        <v>2300</v>
      </c>
      <c r="U58" s="51" t="n">
        <v>0</v>
      </c>
      <c r="V58" s="45" t="n">
        <v>2023</v>
      </c>
    </row>
    <row r="59" customFormat="false" ht="15" hidden="false" customHeight="true" outlineLevel="0" collapsed="false">
      <c r="A59" s="54" t="s">
        <v>367</v>
      </c>
      <c r="B59" s="54" t="n">
        <v>44</v>
      </c>
      <c r="C59" s="54" t="s">
        <v>288</v>
      </c>
      <c r="D59" s="55" t="s">
        <v>330</v>
      </c>
      <c r="E59" s="55" t="s">
        <v>275</v>
      </c>
      <c r="F59" s="56" t="s">
        <v>283</v>
      </c>
      <c r="G59" s="55" t="s">
        <v>284</v>
      </c>
      <c r="H59" s="57" t="n">
        <v>1332</v>
      </c>
      <c r="I59" s="54" t="n">
        <v>2018</v>
      </c>
      <c r="J59" s="54" t="n">
        <v>6</v>
      </c>
      <c r="K59" s="58" t="n">
        <v>16000</v>
      </c>
      <c r="L59" s="54" t="s">
        <v>285</v>
      </c>
      <c r="M59" s="59" t="n">
        <v>0.55</v>
      </c>
      <c r="N59" s="60" t="n">
        <v>15</v>
      </c>
      <c r="O59" s="61" t="s">
        <v>279</v>
      </c>
      <c r="P59" s="58" t="n">
        <v>800</v>
      </c>
      <c r="Q59" s="58" t="n">
        <v>440</v>
      </c>
      <c r="R59" s="62" t="n">
        <v>0</v>
      </c>
      <c r="S59" s="58" t="n">
        <v>0</v>
      </c>
      <c r="T59" s="58" t="n">
        <v>360</v>
      </c>
      <c r="U59" s="63" t="n">
        <v>0</v>
      </c>
      <c r="V59" s="54" t="n">
        <v>2023</v>
      </c>
    </row>
    <row r="60" customFormat="false" ht="15" hidden="false" customHeight="true" outlineLevel="0" collapsed="false">
      <c r="A60" s="45" t="s">
        <v>368</v>
      </c>
      <c r="B60" s="45" t="n">
        <v>61</v>
      </c>
      <c r="C60" s="45" t="s">
        <v>273</v>
      </c>
      <c r="D60" s="46" t="s">
        <v>281</v>
      </c>
      <c r="E60" s="46" t="s">
        <v>301</v>
      </c>
      <c r="F60" s="47" t="s">
        <v>276</v>
      </c>
      <c r="G60" s="46" t="s">
        <v>277</v>
      </c>
      <c r="H60" s="48" t="n">
        <v>1300</v>
      </c>
      <c r="I60" s="45" t="n">
        <v>2023</v>
      </c>
      <c r="J60" s="45" t="n">
        <v>1</v>
      </c>
      <c r="K60" s="49" t="n">
        <v>33000</v>
      </c>
      <c r="L60" s="45" t="s">
        <v>285</v>
      </c>
      <c r="M60" s="50" t="n">
        <v>0.3833</v>
      </c>
      <c r="N60" s="64" t="n">
        <v>13</v>
      </c>
      <c r="O60" s="65" t="s">
        <v>279</v>
      </c>
      <c r="P60" s="49" t="n">
        <v>1500</v>
      </c>
      <c r="Q60" s="49" t="n">
        <v>575</v>
      </c>
      <c r="R60" s="53" t="n">
        <v>0</v>
      </c>
      <c r="S60" s="49" t="n">
        <v>0</v>
      </c>
      <c r="T60" s="49" t="n">
        <v>925</v>
      </c>
      <c r="U60" s="51" t="n">
        <v>0</v>
      </c>
      <c r="V60" s="45" t="n">
        <v>2023</v>
      </c>
    </row>
    <row r="61" customFormat="false" ht="15" hidden="false" customHeight="true" outlineLevel="0" collapsed="false">
      <c r="A61" s="54" t="s">
        <v>369</v>
      </c>
      <c r="B61" s="54" t="n">
        <v>24</v>
      </c>
      <c r="C61" s="54" t="s">
        <v>288</v>
      </c>
      <c r="D61" s="55" t="s">
        <v>309</v>
      </c>
      <c r="E61" s="55" t="s">
        <v>301</v>
      </c>
      <c r="F61" s="56" t="s">
        <v>283</v>
      </c>
      <c r="G61" s="55" t="s">
        <v>338</v>
      </c>
      <c r="H61" s="57" t="n">
        <v>1600</v>
      </c>
      <c r="I61" s="54" t="n">
        <v>2019</v>
      </c>
      <c r="J61" s="54" t="n">
        <v>5</v>
      </c>
      <c r="K61" s="58" t="n">
        <v>36000</v>
      </c>
      <c r="L61" s="54" t="s">
        <v>278</v>
      </c>
      <c r="M61" s="59" t="n">
        <v>0.55</v>
      </c>
      <c r="N61" s="69" t="n">
        <v>17</v>
      </c>
      <c r="O61" s="61" t="s">
        <v>318</v>
      </c>
      <c r="P61" s="58" t="n">
        <v>2200</v>
      </c>
      <c r="Q61" s="58" t="n">
        <v>1210</v>
      </c>
      <c r="R61" s="62" t="n">
        <v>0</v>
      </c>
      <c r="S61" s="58" t="n">
        <v>0</v>
      </c>
      <c r="T61" s="58" t="n">
        <v>990</v>
      </c>
      <c r="U61" s="63" t="n">
        <v>0</v>
      </c>
      <c r="V61" s="54" t="n">
        <v>2024</v>
      </c>
    </row>
    <row r="62" customFormat="false" ht="15" hidden="false" customHeight="true" outlineLevel="0" collapsed="false">
      <c r="A62" s="45" t="s">
        <v>370</v>
      </c>
      <c r="B62" s="45" t="n">
        <v>29</v>
      </c>
      <c r="C62" s="45" t="s">
        <v>288</v>
      </c>
      <c r="D62" s="46" t="s">
        <v>281</v>
      </c>
      <c r="E62" s="46" t="s">
        <v>312</v>
      </c>
      <c r="F62" s="47" t="s">
        <v>302</v>
      </c>
      <c r="G62" s="46" t="s">
        <v>326</v>
      </c>
      <c r="H62" s="48" t="n">
        <v>1496</v>
      </c>
      <c r="I62" s="45" t="n">
        <v>2016</v>
      </c>
      <c r="J62" s="45" t="n">
        <v>8</v>
      </c>
      <c r="K62" s="49" t="n">
        <v>43000</v>
      </c>
      <c r="L62" s="45" t="s">
        <v>285</v>
      </c>
      <c r="M62" s="50" t="n">
        <v>0.55</v>
      </c>
      <c r="N62" s="70" t="n">
        <v>18</v>
      </c>
      <c r="O62" s="65" t="s">
        <v>318</v>
      </c>
      <c r="P62" s="49" t="n">
        <v>1900</v>
      </c>
      <c r="Q62" s="49" t="n">
        <v>1045</v>
      </c>
      <c r="R62" s="53" t="n">
        <v>0</v>
      </c>
      <c r="S62" s="49" t="n">
        <v>0</v>
      </c>
      <c r="T62" s="49" t="n">
        <v>855</v>
      </c>
      <c r="U62" s="51" t="n">
        <v>0</v>
      </c>
      <c r="V62" s="45" t="n">
        <v>2023</v>
      </c>
    </row>
    <row r="63" customFormat="false" ht="15" hidden="false" customHeight="true" outlineLevel="0" collapsed="false">
      <c r="A63" s="54" t="s">
        <v>371</v>
      </c>
      <c r="B63" s="54" t="n">
        <v>23</v>
      </c>
      <c r="C63" s="54" t="s">
        <v>273</v>
      </c>
      <c r="D63" s="55" t="s">
        <v>274</v>
      </c>
      <c r="E63" s="55" t="s">
        <v>312</v>
      </c>
      <c r="F63" s="56" t="s">
        <v>276</v>
      </c>
      <c r="G63" s="55" t="s">
        <v>277</v>
      </c>
      <c r="H63" s="57" t="n">
        <v>1300</v>
      </c>
      <c r="I63" s="54" t="n">
        <v>2018</v>
      </c>
      <c r="J63" s="54" t="n">
        <v>6</v>
      </c>
      <c r="K63" s="58" t="n">
        <v>26000</v>
      </c>
      <c r="L63" s="54" t="s">
        <v>285</v>
      </c>
      <c r="M63" s="59" t="n">
        <v>0.3</v>
      </c>
      <c r="N63" s="69" t="n">
        <v>18</v>
      </c>
      <c r="O63" s="61" t="s">
        <v>318</v>
      </c>
      <c r="P63" s="58" t="n">
        <v>1100</v>
      </c>
      <c r="Q63" s="58" t="n">
        <v>330</v>
      </c>
      <c r="R63" s="62" t="n">
        <v>0</v>
      </c>
      <c r="S63" s="58" t="n">
        <v>0</v>
      </c>
      <c r="T63" s="58" t="n">
        <v>770</v>
      </c>
      <c r="U63" s="63" t="n">
        <v>0</v>
      </c>
      <c r="V63" s="54" t="n">
        <v>2023</v>
      </c>
    </row>
    <row r="64" customFormat="false" ht="15" hidden="false" customHeight="true" outlineLevel="0" collapsed="false">
      <c r="A64" s="45" t="s">
        <v>372</v>
      </c>
      <c r="B64" s="45" t="n">
        <v>33</v>
      </c>
      <c r="C64" s="45" t="s">
        <v>288</v>
      </c>
      <c r="D64" s="46" t="s">
        <v>274</v>
      </c>
      <c r="E64" s="46" t="s">
        <v>294</v>
      </c>
      <c r="F64" s="47" t="s">
        <v>276</v>
      </c>
      <c r="G64" s="46" t="s">
        <v>314</v>
      </c>
      <c r="H64" s="48" t="n">
        <v>850</v>
      </c>
      <c r="I64" s="45" t="n">
        <v>2021</v>
      </c>
      <c r="J64" s="45" t="n">
        <v>3</v>
      </c>
      <c r="K64" s="49" t="n">
        <v>16000</v>
      </c>
      <c r="L64" s="45" t="s">
        <v>285</v>
      </c>
      <c r="M64" s="50" t="n">
        <v>0.45</v>
      </c>
      <c r="N64" s="64" t="n">
        <v>14</v>
      </c>
      <c r="O64" s="65" t="s">
        <v>279</v>
      </c>
      <c r="P64" s="49" t="n">
        <v>800</v>
      </c>
      <c r="Q64" s="49" t="n">
        <v>360</v>
      </c>
      <c r="R64" s="53" t="n">
        <v>0</v>
      </c>
      <c r="S64" s="49" t="n">
        <v>0</v>
      </c>
      <c r="T64" s="49" t="n">
        <v>440</v>
      </c>
      <c r="U64" s="51" t="n">
        <v>0</v>
      </c>
      <c r="V64" s="45" t="n">
        <v>2023</v>
      </c>
    </row>
    <row r="65" customFormat="false" ht="15" hidden="false" customHeight="true" outlineLevel="0" collapsed="false">
      <c r="A65" s="54" t="s">
        <v>373</v>
      </c>
      <c r="B65" s="54" t="n">
        <v>36</v>
      </c>
      <c r="C65" s="54" t="s">
        <v>273</v>
      </c>
      <c r="D65" s="55" t="s">
        <v>274</v>
      </c>
      <c r="E65" s="55" t="s">
        <v>275</v>
      </c>
      <c r="F65" s="56" t="s">
        <v>283</v>
      </c>
      <c r="G65" s="55" t="s">
        <v>349</v>
      </c>
      <c r="H65" s="57" t="n">
        <v>1498</v>
      </c>
      <c r="I65" s="54" t="n">
        <v>2019</v>
      </c>
      <c r="J65" s="54" t="n">
        <v>5</v>
      </c>
      <c r="K65" s="58" t="n">
        <v>51000</v>
      </c>
      <c r="L65" s="54" t="s">
        <v>285</v>
      </c>
      <c r="M65" s="59" t="n">
        <v>0.45</v>
      </c>
      <c r="N65" s="60" t="n">
        <v>11</v>
      </c>
      <c r="O65" s="61" t="s">
        <v>279</v>
      </c>
      <c r="P65" s="58" t="n">
        <v>2200</v>
      </c>
      <c r="Q65" s="58" t="n">
        <v>990</v>
      </c>
      <c r="R65" s="62" t="n">
        <v>0</v>
      </c>
      <c r="S65" s="58" t="n">
        <v>0</v>
      </c>
      <c r="T65" s="58" t="n">
        <v>1210</v>
      </c>
      <c r="U65" s="63" t="n">
        <v>0</v>
      </c>
      <c r="V65" s="54" t="n">
        <v>2024</v>
      </c>
    </row>
    <row r="66" customFormat="false" ht="15" hidden="false" customHeight="true" outlineLevel="0" collapsed="false">
      <c r="A66" s="45" t="s">
        <v>374</v>
      </c>
      <c r="B66" s="45" t="n">
        <v>31</v>
      </c>
      <c r="C66" s="45" t="s">
        <v>288</v>
      </c>
      <c r="D66" s="46" t="s">
        <v>281</v>
      </c>
      <c r="E66" s="46" t="s">
        <v>322</v>
      </c>
      <c r="F66" s="47" t="s">
        <v>276</v>
      </c>
      <c r="G66" s="46" t="s">
        <v>277</v>
      </c>
      <c r="H66" s="48" t="n">
        <v>1300</v>
      </c>
      <c r="I66" s="45" t="n">
        <v>2019</v>
      </c>
      <c r="J66" s="45" t="n">
        <v>5</v>
      </c>
      <c r="K66" s="49" t="n">
        <v>23000</v>
      </c>
      <c r="L66" s="45" t="s">
        <v>285</v>
      </c>
      <c r="M66" s="50" t="n">
        <v>0.3</v>
      </c>
      <c r="N66" s="64" t="n">
        <v>14</v>
      </c>
      <c r="O66" s="65" t="s">
        <v>279</v>
      </c>
      <c r="P66" s="49" t="n">
        <v>1000</v>
      </c>
      <c r="Q66" s="49" t="n">
        <v>300</v>
      </c>
      <c r="R66" s="53" t="n">
        <v>0</v>
      </c>
      <c r="S66" s="49" t="n">
        <v>0</v>
      </c>
      <c r="T66" s="49" t="n">
        <v>700</v>
      </c>
      <c r="U66" s="51" t="n">
        <v>0</v>
      </c>
      <c r="V66" s="45" t="n">
        <v>2024</v>
      </c>
    </row>
    <row r="67" customFormat="false" ht="15" hidden="false" customHeight="true" outlineLevel="0" collapsed="false">
      <c r="A67" s="54" t="s">
        <v>375</v>
      </c>
      <c r="B67" s="54" t="n">
        <v>54</v>
      </c>
      <c r="C67" s="54" t="s">
        <v>273</v>
      </c>
      <c r="D67" s="55" t="s">
        <v>274</v>
      </c>
      <c r="E67" s="55" t="s">
        <v>322</v>
      </c>
      <c r="F67" s="56" t="s">
        <v>276</v>
      </c>
      <c r="G67" s="55" t="s">
        <v>277</v>
      </c>
      <c r="H67" s="57" t="n">
        <v>1300</v>
      </c>
      <c r="I67" s="54" t="n">
        <v>2024</v>
      </c>
      <c r="J67" s="54" t="n">
        <v>0</v>
      </c>
      <c r="K67" s="58" t="n">
        <v>41000</v>
      </c>
      <c r="L67" s="54" t="s">
        <v>285</v>
      </c>
      <c r="M67" s="59" t="n">
        <v>0.3</v>
      </c>
      <c r="N67" s="63" t="n">
        <v>6</v>
      </c>
      <c r="O67" s="66" t="s">
        <v>286</v>
      </c>
      <c r="P67" s="58" t="n">
        <v>1800</v>
      </c>
      <c r="Q67" s="58" t="n">
        <v>540</v>
      </c>
      <c r="R67" s="62" t="n">
        <v>0</v>
      </c>
      <c r="S67" s="58" t="n">
        <v>0</v>
      </c>
      <c r="T67" s="58" t="n">
        <v>1260</v>
      </c>
      <c r="U67" s="63" t="n">
        <v>0</v>
      </c>
      <c r="V67" s="54" t="n">
        <v>2023</v>
      </c>
    </row>
    <row r="68" customFormat="false" ht="15" hidden="false" customHeight="true" outlineLevel="0" collapsed="false">
      <c r="A68" s="45" t="s">
        <v>376</v>
      </c>
      <c r="B68" s="45" t="n">
        <v>34</v>
      </c>
      <c r="C68" s="45" t="s">
        <v>273</v>
      </c>
      <c r="D68" s="46" t="s">
        <v>293</v>
      </c>
      <c r="E68" s="46" t="s">
        <v>275</v>
      </c>
      <c r="F68" s="47" t="s">
        <v>283</v>
      </c>
      <c r="G68" s="46" t="s">
        <v>338</v>
      </c>
      <c r="H68" s="48" t="n">
        <v>1600</v>
      </c>
      <c r="I68" s="45" t="n">
        <v>2017</v>
      </c>
      <c r="J68" s="45" t="n">
        <v>7</v>
      </c>
      <c r="K68" s="49" t="n">
        <v>26000</v>
      </c>
      <c r="L68" s="45" t="s">
        <v>278</v>
      </c>
      <c r="M68" s="50" t="n">
        <v>0.45</v>
      </c>
      <c r="N68" s="64" t="n">
        <v>9</v>
      </c>
      <c r="O68" s="65" t="s">
        <v>279</v>
      </c>
      <c r="P68" s="49" t="n">
        <v>1600</v>
      </c>
      <c r="Q68" s="49" t="n">
        <v>720</v>
      </c>
      <c r="R68" s="53" t="n">
        <v>0</v>
      </c>
      <c r="S68" s="49" t="n">
        <v>0</v>
      </c>
      <c r="T68" s="49" t="n">
        <v>880</v>
      </c>
      <c r="U68" s="51" t="n">
        <v>0</v>
      </c>
      <c r="V68" s="45" t="n">
        <v>2023</v>
      </c>
    </row>
    <row r="69" customFormat="false" ht="15" hidden="false" customHeight="true" outlineLevel="0" collapsed="false">
      <c r="A69" s="54" t="s">
        <v>377</v>
      </c>
      <c r="B69" s="54" t="n">
        <v>32</v>
      </c>
      <c r="C69" s="54" t="s">
        <v>273</v>
      </c>
      <c r="D69" s="55" t="s">
        <v>305</v>
      </c>
      <c r="E69" s="55" t="s">
        <v>282</v>
      </c>
      <c r="F69" s="56" t="s">
        <v>276</v>
      </c>
      <c r="G69" s="55" t="s">
        <v>343</v>
      </c>
      <c r="H69" s="57" t="n">
        <v>1300</v>
      </c>
      <c r="I69" s="54" t="n">
        <v>2022</v>
      </c>
      <c r="J69" s="54" t="n">
        <v>2</v>
      </c>
      <c r="K69" s="58" t="n">
        <v>24000</v>
      </c>
      <c r="L69" s="54" t="s">
        <v>278</v>
      </c>
      <c r="M69" s="59" t="n">
        <v>0.3</v>
      </c>
      <c r="N69" s="60" t="n">
        <v>12</v>
      </c>
      <c r="O69" s="61" t="s">
        <v>279</v>
      </c>
      <c r="P69" s="58" t="n">
        <v>1300</v>
      </c>
      <c r="Q69" s="58" t="n">
        <v>390</v>
      </c>
      <c r="R69" s="62" t="n">
        <v>0</v>
      </c>
      <c r="S69" s="58" t="n">
        <v>0</v>
      </c>
      <c r="T69" s="58" t="n">
        <v>910</v>
      </c>
      <c r="U69" s="63" t="n">
        <v>0</v>
      </c>
      <c r="V69" s="54" t="n">
        <v>2022</v>
      </c>
    </row>
    <row r="70" customFormat="false" ht="15" hidden="false" customHeight="true" outlineLevel="0" collapsed="false">
      <c r="A70" s="45" t="s">
        <v>378</v>
      </c>
      <c r="B70" s="45" t="n">
        <v>41</v>
      </c>
      <c r="C70" s="45" t="s">
        <v>288</v>
      </c>
      <c r="D70" s="46" t="s">
        <v>293</v>
      </c>
      <c r="E70" s="46" t="s">
        <v>282</v>
      </c>
      <c r="F70" s="47" t="s">
        <v>283</v>
      </c>
      <c r="G70" s="46" t="s">
        <v>349</v>
      </c>
      <c r="H70" s="48" t="n">
        <v>1498</v>
      </c>
      <c r="I70" s="45" t="n">
        <v>2017</v>
      </c>
      <c r="J70" s="45" t="n">
        <v>7</v>
      </c>
      <c r="K70" s="49" t="n">
        <v>30000</v>
      </c>
      <c r="L70" s="45" t="s">
        <v>285</v>
      </c>
      <c r="M70" s="50" t="n">
        <v>0.3</v>
      </c>
      <c r="N70" s="64" t="n">
        <v>9</v>
      </c>
      <c r="O70" s="65" t="s">
        <v>279</v>
      </c>
      <c r="P70" s="49" t="n">
        <v>1300</v>
      </c>
      <c r="Q70" s="49" t="n">
        <v>390</v>
      </c>
      <c r="R70" s="53" t="n">
        <v>0</v>
      </c>
      <c r="S70" s="49" t="n">
        <v>0</v>
      </c>
      <c r="T70" s="49" t="n">
        <v>910</v>
      </c>
      <c r="U70" s="51" t="n">
        <v>0</v>
      </c>
      <c r="V70" s="45" t="n">
        <v>2023</v>
      </c>
    </row>
    <row r="71" customFormat="false" ht="15" hidden="false" customHeight="true" outlineLevel="0" collapsed="false">
      <c r="A71" s="54" t="s">
        <v>379</v>
      </c>
      <c r="B71" s="54" t="n">
        <v>27</v>
      </c>
      <c r="C71" s="54" t="s">
        <v>288</v>
      </c>
      <c r="D71" s="55" t="s">
        <v>307</v>
      </c>
      <c r="E71" s="55" t="s">
        <v>282</v>
      </c>
      <c r="F71" s="56" t="s">
        <v>298</v>
      </c>
      <c r="G71" s="55" t="s">
        <v>299</v>
      </c>
      <c r="H71" s="57" t="n">
        <v>1496</v>
      </c>
      <c r="I71" s="54" t="n">
        <v>2021</v>
      </c>
      <c r="J71" s="54" t="n">
        <v>3</v>
      </c>
      <c r="K71" s="58" t="n">
        <v>49000</v>
      </c>
      <c r="L71" s="54" t="s">
        <v>285</v>
      </c>
      <c r="M71" s="59" t="n">
        <v>0.55</v>
      </c>
      <c r="N71" s="60" t="n">
        <v>13</v>
      </c>
      <c r="O71" s="61" t="s">
        <v>279</v>
      </c>
      <c r="P71" s="58" t="n">
        <v>2200</v>
      </c>
      <c r="Q71" s="58" t="n">
        <v>1210</v>
      </c>
      <c r="R71" s="62" t="n">
        <v>0</v>
      </c>
      <c r="S71" s="58" t="n">
        <v>0</v>
      </c>
      <c r="T71" s="58" t="n">
        <v>990</v>
      </c>
      <c r="U71" s="63" t="n">
        <v>0</v>
      </c>
      <c r="V71" s="54" t="n">
        <v>2023</v>
      </c>
    </row>
    <row r="72" customFormat="false" ht="15" hidden="false" customHeight="true" outlineLevel="0" collapsed="false">
      <c r="A72" s="45" t="s">
        <v>380</v>
      </c>
      <c r="B72" s="45" t="n">
        <v>53</v>
      </c>
      <c r="C72" s="45" t="s">
        <v>273</v>
      </c>
      <c r="D72" s="46" t="s">
        <v>307</v>
      </c>
      <c r="E72" s="46" t="s">
        <v>322</v>
      </c>
      <c r="F72" s="47" t="s">
        <v>290</v>
      </c>
      <c r="G72" s="46" t="s">
        <v>291</v>
      </c>
      <c r="H72" s="48" t="n">
        <v>1498</v>
      </c>
      <c r="I72" s="45" t="n">
        <v>2018</v>
      </c>
      <c r="J72" s="45" t="n">
        <v>6</v>
      </c>
      <c r="K72" s="49" t="n">
        <v>50000</v>
      </c>
      <c r="L72" s="45" t="s">
        <v>285</v>
      </c>
      <c r="M72" s="50" t="n">
        <v>0</v>
      </c>
      <c r="N72" s="64" t="n">
        <v>9</v>
      </c>
      <c r="O72" s="65" t="s">
        <v>279</v>
      </c>
      <c r="P72" s="49" t="n">
        <v>2200</v>
      </c>
      <c r="Q72" s="49" t="n">
        <v>0</v>
      </c>
      <c r="R72" s="53" t="n">
        <v>0</v>
      </c>
      <c r="S72" s="49" t="n">
        <v>0</v>
      </c>
      <c r="T72" s="49" t="n">
        <v>2200</v>
      </c>
      <c r="U72" s="51" t="n">
        <v>0</v>
      </c>
      <c r="V72" s="45" t="n">
        <v>2022</v>
      </c>
    </row>
    <row r="73" customFormat="false" ht="15" hidden="false" customHeight="true" outlineLevel="0" collapsed="false">
      <c r="A73" s="35" t="s">
        <v>381</v>
      </c>
      <c r="B73" s="35" t="n">
        <v>24</v>
      </c>
      <c r="C73" s="35" t="s">
        <v>273</v>
      </c>
      <c r="D73" s="36" t="s">
        <v>274</v>
      </c>
      <c r="E73" s="36" t="s">
        <v>301</v>
      </c>
      <c r="F73" s="37" t="s">
        <v>283</v>
      </c>
      <c r="G73" s="36" t="s">
        <v>284</v>
      </c>
      <c r="H73" s="38" t="n">
        <v>1332</v>
      </c>
      <c r="I73" s="35" t="n">
        <v>2019</v>
      </c>
      <c r="J73" s="35" t="n">
        <v>5</v>
      </c>
      <c r="K73" s="39" t="n">
        <v>14000</v>
      </c>
      <c r="L73" s="35" t="s">
        <v>285</v>
      </c>
      <c r="M73" s="40" t="n">
        <v>0.3</v>
      </c>
      <c r="N73" s="41" t="n">
        <v>16</v>
      </c>
      <c r="O73" s="42" t="s">
        <v>279</v>
      </c>
      <c r="P73" s="39" t="n">
        <v>800</v>
      </c>
      <c r="Q73" s="39" t="n">
        <v>240</v>
      </c>
      <c r="R73" s="43" t="n">
        <v>0</v>
      </c>
      <c r="S73" s="39" t="n">
        <v>0</v>
      </c>
      <c r="T73" s="39" t="n">
        <v>560</v>
      </c>
      <c r="U73" s="44" t="n">
        <v>1</v>
      </c>
      <c r="V73" s="35" t="n">
        <v>2022</v>
      </c>
    </row>
    <row r="74" customFormat="false" ht="15" hidden="false" customHeight="true" outlineLevel="0" collapsed="false">
      <c r="A74" s="45" t="s">
        <v>382</v>
      </c>
      <c r="B74" s="45" t="n">
        <v>70</v>
      </c>
      <c r="C74" s="45" t="s">
        <v>273</v>
      </c>
      <c r="D74" s="46" t="s">
        <v>309</v>
      </c>
      <c r="E74" s="46" t="s">
        <v>383</v>
      </c>
      <c r="F74" s="47" t="s">
        <v>283</v>
      </c>
      <c r="G74" s="46" t="s">
        <v>349</v>
      </c>
      <c r="H74" s="48" t="n">
        <v>1498</v>
      </c>
      <c r="I74" s="45" t="n">
        <v>2018</v>
      </c>
      <c r="J74" s="45" t="n">
        <v>6</v>
      </c>
      <c r="K74" s="49" t="n">
        <v>42000</v>
      </c>
      <c r="L74" s="45" t="s">
        <v>285</v>
      </c>
      <c r="M74" s="50" t="n">
        <v>0.45</v>
      </c>
      <c r="N74" s="64" t="n">
        <v>11</v>
      </c>
      <c r="O74" s="65" t="s">
        <v>279</v>
      </c>
      <c r="P74" s="49" t="n">
        <v>1800</v>
      </c>
      <c r="Q74" s="49" t="n">
        <v>810</v>
      </c>
      <c r="R74" s="53" t="n">
        <v>0</v>
      </c>
      <c r="S74" s="49" t="n">
        <v>0</v>
      </c>
      <c r="T74" s="49" t="n">
        <v>990</v>
      </c>
      <c r="U74" s="51" t="n">
        <v>0</v>
      </c>
      <c r="V74" s="45" t="n">
        <v>2022</v>
      </c>
    </row>
    <row r="75" customFormat="false" ht="15" hidden="false" customHeight="true" outlineLevel="0" collapsed="false">
      <c r="A75" s="54" t="s">
        <v>384</v>
      </c>
      <c r="B75" s="54" t="n">
        <v>52</v>
      </c>
      <c r="C75" s="54" t="s">
        <v>273</v>
      </c>
      <c r="D75" s="55" t="s">
        <v>274</v>
      </c>
      <c r="E75" s="55" t="s">
        <v>275</v>
      </c>
      <c r="F75" s="56" t="s">
        <v>298</v>
      </c>
      <c r="G75" s="55" t="s">
        <v>299</v>
      </c>
      <c r="H75" s="57" t="n">
        <v>1496</v>
      </c>
      <c r="I75" s="54" t="n">
        <v>2024</v>
      </c>
      <c r="J75" s="54" t="n">
        <v>0</v>
      </c>
      <c r="K75" s="58" t="n">
        <v>71000</v>
      </c>
      <c r="L75" s="54" t="s">
        <v>285</v>
      </c>
      <c r="M75" s="59" t="n">
        <v>0.3833</v>
      </c>
      <c r="N75" s="60" t="n">
        <v>9</v>
      </c>
      <c r="O75" s="61" t="s">
        <v>279</v>
      </c>
      <c r="P75" s="58" t="n">
        <v>3100</v>
      </c>
      <c r="Q75" s="58" t="n">
        <v>1188</v>
      </c>
      <c r="R75" s="62" t="n">
        <v>0</v>
      </c>
      <c r="S75" s="58" t="n">
        <v>0</v>
      </c>
      <c r="T75" s="58" t="n">
        <v>1912</v>
      </c>
      <c r="U75" s="63" t="n">
        <v>0</v>
      </c>
      <c r="V75" s="54" t="n">
        <v>2023</v>
      </c>
    </row>
    <row r="76" customFormat="false" ht="15" hidden="false" customHeight="true" outlineLevel="0" collapsed="false">
      <c r="A76" s="45" t="s">
        <v>385</v>
      </c>
      <c r="B76" s="45" t="n">
        <v>29</v>
      </c>
      <c r="C76" s="45" t="s">
        <v>288</v>
      </c>
      <c r="D76" s="46" t="s">
        <v>293</v>
      </c>
      <c r="E76" s="46" t="s">
        <v>301</v>
      </c>
      <c r="F76" s="47" t="s">
        <v>283</v>
      </c>
      <c r="G76" s="46" t="s">
        <v>284</v>
      </c>
      <c r="H76" s="48" t="n">
        <v>1332</v>
      </c>
      <c r="I76" s="45" t="n">
        <v>2021</v>
      </c>
      <c r="J76" s="45" t="n">
        <v>3</v>
      </c>
      <c r="K76" s="49" t="n">
        <v>30000</v>
      </c>
      <c r="L76" s="45" t="s">
        <v>285</v>
      </c>
      <c r="M76" s="50" t="n">
        <v>0</v>
      </c>
      <c r="N76" s="64" t="n">
        <v>10</v>
      </c>
      <c r="O76" s="65" t="s">
        <v>279</v>
      </c>
      <c r="P76" s="49" t="n">
        <v>1300</v>
      </c>
      <c r="Q76" s="49" t="n">
        <v>0</v>
      </c>
      <c r="R76" s="53" t="n">
        <v>0</v>
      </c>
      <c r="S76" s="49" t="n">
        <v>0</v>
      </c>
      <c r="T76" s="49" t="n">
        <v>1300</v>
      </c>
      <c r="U76" s="51" t="n">
        <v>0</v>
      </c>
      <c r="V76" s="45" t="n">
        <v>2023</v>
      </c>
    </row>
    <row r="77" customFormat="false" ht="15" hidden="false" customHeight="true" outlineLevel="0" collapsed="false">
      <c r="A77" s="54" t="s">
        <v>386</v>
      </c>
      <c r="B77" s="54" t="n">
        <v>18</v>
      </c>
      <c r="C77" s="54" t="s">
        <v>288</v>
      </c>
      <c r="D77" s="55" t="s">
        <v>330</v>
      </c>
      <c r="E77" s="55" t="s">
        <v>294</v>
      </c>
      <c r="F77" s="56" t="s">
        <v>283</v>
      </c>
      <c r="G77" s="55" t="s">
        <v>349</v>
      </c>
      <c r="H77" s="57" t="n">
        <v>1498</v>
      </c>
      <c r="I77" s="54" t="n">
        <v>2019</v>
      </c>
      <c r="J77" s="54" t="n">
        <v>5</v>
      </c>
      <c r="K77" s="58" t="n">
        <v>48000</v>
      </c>
      <c r="L77" s="54" t="s">
        <v>285</v>
      </c>
      <c r="M77" s="59" t="n">
        <v>0.25</v>
      </c>
      <c r="N77" s="69" t="n">
        <v>17</v>
      </c>
      <c r="O77" s="61" t="s">
        <v>318</v>
      </c>
      <c r="P77" s="58" t="n">
        <v>2100</v>
      </c>
      <c r="Q77" s="58" t="n">
        <v>525</v>
      </c>
      <c r="R77" s="62" t="n">
        <v>0</v>
      </c>
      <c r="S77" s="58" t="n">
        <v>0</v>
      </c>
      <c r="T77" s="58" t="n">
        <v>1575</v>
      </c>
      <c r="U77" s="63" t="n">
        <v>0</v>
      </c>
      <c r="V77" s="54" t="n">
        <v>2023</v>
      </c>
    </row>
    <row r="78" customFormat="false" ht="15" hidden="false" customHeight="true" outlineLevel="0" collapsed="false">
      <c r="A78" s="45" t="s">
        <v>387</v>
      </c>
      <c r="B78" s="45" t="n">
        <v>54</v>
      </c>
      <c r="C78" s="45" t="s">
        <v>273</v>
      </c>
      <c r="D78" s="46" t="s">
        <v>330</v>
      </c>
      <c r="E78" s="46" t="s">
        <v>301</v>
      </c>
      <c r="F78" s="47" t="s">
        <v>298</v>
      </c>
      <c r="G78" s="46" t="s">
        <v>323</v>
      </c>
      <c r="H78" s="48" t="n">
        <v>2494</v>
      </c>
      <c r="I78" s="45" t="n">
        <v>2016</v>
      </c>
      <c r="J78" s="45" t="n">
        <v>8</v>
      </c>
      <c r="K78" s="49" t="n">
        <v>101000</v>
      </c>
      <c r="L78" s="45" t="s">
        <v>285</v>
      </c>
      <c r="M78" s="50" t="n">
        <v>0.3</v>
      </c>
      <c r="N78" s="64" t="n">
        <v>10</v>
      </c>
      <c r="O78" s="65" t="s">
        <v>279</v>
      </c>
      <c r="P78" s="49" t="n">
        <v>5600</v>
      </c>
      <c r="Q78" s="49" t="n">
        <v>1680</v>
      </c>
      <c r="R78" s="53" t="n">
        <v>0</v>
      </c>
      <c r="S78" s="49" t="n">
        <v>0</v>
      </c>
      <c r="T78" s="49" t="n">
        <v>3920</v>
      </c>
      <c r="U78" s="51" t="n">
        <v>0</v>
      </c>
      <c r="V78" s="45" t="n">
        <v>2023</v>
      </c>
    </row>
    <row r="79" customFormat="false" ht="15" hidden="false" customHeight="true" outlineLevel="0" collapsed="false">
      <c r="A79" s="54" t="s">
        <v>388</v>
      </c>
      <c r="B79" s="54" t="n">
        <v>49</v>
      </c>
      <c r="C79" s="54" t="s">
        <v>288</v>
      </c>
      <c r="D79" s="55" t="s">
        <v>307</v>
      </c>
      <c r="E79" s="55" t="s">
        <v>275</v>
      </c>
      <c r="F79" s="56" t="s">
        <v>290</v>
      </c>
      <c r="G79" s="55" t="s">
        <v>291</v>
      </c>
      <c r="H79" s="57" t="n">
        <v>1498</v>
      </c>
      <c r="I79" s="54" t="n">
        <v>2023</v>
      </c>
      <c r="J79" s="54" t="n">
        <v>1</v>
      </c>
      <c r="K79" s="58" t="n">
        <v>23000</v>
      </c>
      <c r="L79" s="54" t="s">
        <v>285</v>
      </c>
      <c r="M79" s="59" t="n">
        <v>0.3</v>
      </c>
      <c r="N79" s="63" t="n">
        <v>6</v>
      </c>
      <c r="O79" s="66" t="s">
        <v>286</v>
      </c>
      <c r="P79" s="58" t="n">
        <v>1000</v>
      </c>
      <c r="Q79" s="58" t="n">
        <v>300</v>
      </c>
      <c r="R79" s="62" t="n">
        <v>0</v>
      </c>
      <c r="S79" s="58" t="n">
        <v>0</v>
      </c>
      <c r="T79" s="58" t="n">
        <v>700</v>
      </c>
      <c r="U79" s="63" t="n">
        <v>0</v>
      </c>
      <c r="V79" s="54" t="n">
        <v>2023</v>
      </c>
    </row>
    <row r="80" customFormat="false" ht="15" hidden="false" customHeight="true" outlineLevel="0" collapsed="false">
      <c r="A80" s="45" t="s">
        <v>389</v>
      </c>
      <c r="B80" s="45" t="n">
        <v>50</v>
      </c>
      <c r="C80" s="45" t="s">
        <v>288</v>
      </c>
      <c r="D80" s="46" t="s">
        <v>309</v>
      </c>
      <c r="E80" s="46" t="s">
        <v>289</v>
      </c>
      <c r="F80" s="47" t="s">
        <v>302</v>
      </c>
      <c r="G80" s="46" t="s">
        <v>326</v>
      </c>
      <c r="H80" s="48" t="n">
        <v>1496</v>
      </c>
      <c r="I80" s="45" t="n">
        <v>2022</v>
      </c>
      <c r="J80" s="45" t="n">
        <v>2</v>
      </c>
      <c r="K80" s="49" t="n">
        <v>50000</v>
      </c>
      <c r="L80" s="45" t="s">
        <v>285</v>
      </c>
      <c r="M80" s="50" t="n">
        <v>0.3</v>
      </c>
      <c r="N80" s="64" t="n">
        <v>12</v>
      </c>
      <c r="O80" s="65" t="s">
        <v>279</v>
      </c>
      <c r="P80" s="49" t="n">
        <v>2200</v>
      </c>
      <c r="Q80" s="49" t="n">
        <v>660</v>
      </c>
      <c r="R80" s="53" t="n">
        <v>0</v>
      </c>
      <c r="S80" s="49" t="n">
        <v>0</v>
      </c>
      <c r="T80" s="49" t="n">
        <v>1540</v>
      </c>
      <c r="U80" s="51" t="n">
        <v>0</v>
      </c>
      <c r="V80" s="45" t="n">
        <v>2022</v>
      </c>
    </row>
    <row r="81" customFormat="false" ht="15" hidden="false" customHeight="true" outlineLevel="0" collapsed="false">
      <c r="A81" s="54" t="s">
        <v>390</v>
      </c>
      <c r="B81" s="54" t="n">
        <v>52</v>
      </c>
      <c r="C81" s="54" t="s">
        <v>273</v>
      </c>
      <c r="D81" s="55" t="s">
        <v>281</v>
      </c>
      <c r="E81" s="55" t="s">
        <v>289</v>
      </c>
      <c r="F81" s="56" t="s">
        <v>276</v>
      </c>
      <c r="G81" s="55" t="s">
        <v>277</v>
      </c>
      <c r="H81" s="57" t="n">
        <v>1300</v>
      </c>
      <c r="I81" s="54" t="n">
        <v>2022</v>
      </c>
      <c r="J81" s="54" t="n">
        <v>2</v>
      </c>
      <c r="K81" s="58" t="n">
        <v>20000</v>
      </c>
      <c r="L81" s="54" t="s">
        <v>278</v>
      </c>
      <c r="M81" s="59" t="n">
        <v>0.45</v>
      </c>
      <c r="N81" s="63" t="n">
        <v>8</v>
      </c>
      <c r="O81" s="66" t="s">
        <v>286</v>
      </c>
      <c r="P81" s="58" t="n">
        <v>1100</v>
      </c>
      <c r="Q81" s="58" t="n">
        <v>495</v>
      </c>
      <c r="R81" s="62" t="n">
        <v>0</v>
      </c>
      <c r="S81" s="58" t="n">
        <v>0</v>
      </c>
      <c r="T81" s="58" t="n">
        <v>605</v>
      </c>
      <c r="U81" s="63" t="n">
        <v>0</v>
      </c>
      <c r="V81" s="54" t="n">
        <v>2023</v>
      </c>
    </row>
    <row r="82" customFormat="false" ht="15" hidden="false" customHeight="true" outlineLevel="0" collapsed="false">
      <c r="A82" s="45" t="s">
        <v>391</v>
      </c>
      <c r="B82" s="45" t="n">
        <v>24</v>
      </c>
      <c r="C82" s="45" t="s">
        <v>288</v>
      </c>
      <c r="D82" s="46" t="s">
        <v>274</v>
      </c>
      <c r="E82" s="46" t="s">
        <v>301</v>
      </c>
      <c r="F82" s="47" t="s">
        <v>276</v>
      </c>
      <c r="G82" s="46" t="s">
        <v>277</v>
      </c>
      <c r="H82" s="48" t="n">
        <v>1300</v>
      </c>
      <c r="I82" s="45" t="n">
        <v>2016</v>
      </c>
      <c r="J82" s="45" t="n">
        <v>8</v>
      </c>
      <c r="K82" s="49" t="n">
        <v>29000</v>
      </c>
      <c r="L82" s="45" t="s">
        <v>285</v>
      </c>
      <c r="M82" s="50" t="n">
        <v>0.55</v>
      </c>
      <c r="N82" s="70" t="n">
        <v>17</v>
      </c>
      <c r="O82" s="65" t="s">
        <v>318</v>
      </c>
      <c r="P82" s="49" t="n">
        <v>1300</v>
      </c>
      <c r="Q82" s="49" t="n">
        <v>715</v>
      </c>
      <c r="R82" s="53" t="n">
        <v>0</v>
      </c>
      <c r="S82" s="49" t="n">
        <v>0</v>
      </c>
      <c r="T82" s="49" t="n">
        <v>585</v>
      </c>
      <c r="U82" s="51" t="n">
        <v>0</v>
      </c>
      <c r="V82" s="45" t="n">
        <v>2023</v>
      </c>
    </row>
    <row r="83" customFormat="false" ht="15" hidden="false" customHeight="true" outlineLevel="0" collapsed="false">
      <c r="A83" s="54" t="s">
        <v>392</v>
      </c>
      <c r="B83" s="54" t="n">
        <v>34</v>
      </c>
      <c r="C83" s="54" t="s">
        <v>288</v>
      </c>
      <c r="D83" s="55" t="s">
        <v>309</v>
      </c>
      <c r="E83" s="55" t="s">
        <v>301</v>
      </c>
      <c r="F83" s="56" t="s">
        <v>276</v>
      </c>
      <c r="G83" s="55" t="s">
        <v>359</v>
      </c>
      <c r="H83" s="57" t="n">
        <v>1500</v>
      </c>
      <c r="I83" s="54" t="n">
        <v>2022</v>
      </c>
      <c r="J83" s="54" t="n">
        <v>2</v>
      </c>
      <c r="K83" s="58" t="n">
        <v>30000</v>
      </c>
      <c r="L83" s="54" t="s">
        <v>285</v>
      </c>
      <c r="M83" s="59" t="n">
        <v>0.3833</v>
      </c>
      <c r="N83" s="60" t="n">
        <v>14</v>
      </c>
      <c r="O83" s="61" t="s">
        <v>279</v>
      </c>
      <c r="P83" s="58" t="n">
        <v>1300</v>
      </c>
      <c r="Q83" s="58" t="n">
        <v>498</v>
      </c>
      <c r="R83" s="62" t="n">
        <v>0</v>
      </c>
      <c r="S83" s="58" t="n">
        <v>0</v>
      </c>
      <c r="T83" s="58" t="n">
        <v>802</v>
      </c>
      <c r="U83" s="63" t="n">
        <v>0</v>
      </c>
      <c r="V83" s="54" t="n">
        <v>2022</v>
      </c>
    </row>
    <row r="84" customFormat="false" ht="15" hidden="false" customHeight="true" outlineLevel="0" collapsed="false">
      <c r="A84" s="45" t="s">
        <v>393</v>
      </c>
      <c r="B84" s="45" t="n">
        <v>26</v>
      </c>
      <c r="C84" s="45" t="s">
        <v>273</v>
      </c>
      <c r="D84" s="46" t="s">
        <v>281</v>
      </c>
      <c r="E84" s="46" t="s">
        <v>310</v>
      </c>
      <c r="F84" s="47" t="s">
        <v>276</v>
      </c>
      <c r="G84" s="46" t="s">
        <v>343</v>
      </c>
      <c r="H84" s="48" t="n">
        <v>1300</v>
      </c>
      <c r="I84" s="45" t="n">
        <v>2023</v>
      </c>
      <c r="J84" s="45" t="n">
        <v>1</v>
      </c>
      <c r="K84" s="49" t="n">
        <v>22000</v>
      </c>
      <c r="L84" s="45" t="s">
        <v>285</v>
      </c>
      <c r="M84" s="50" t="n">
        <v>0.45</v>
      </c>
      <c r="N84" s="64" t="n">
        <v>16</v>
      </c>
      <c r="O84" s="65" t="s">
        <v>279</v>
      </c>
      <c r="P84" s="49" t="n">
        <v>1000</v>
      </c>
      <c r="Q84" s="49" t="n">
        <v>450</v>
      </c>
      <c r="R84" s="53" t="n">
        <v>0</v>
      </c>
      <c r="S84" s="49" t="n">
        <v>0</v>
      </c>
      <c r="T84" s="49" t="n">
        <v>550</v>
      </c>
      <c r="U84" s="51" t="n">
        <v>0</v>
      </c>
      <c r="V84" s="45" t="n">
        <v>2024</v>
      </c>
    </row>
    <row r="85" customFormat="false" ht="15" hidden="false" customHeight="true" outlineLevel="0" collapsed="false">
      <c r="A85" s="54" t="s">
        <v>394</v>
      </c>
      <c r="B85" s="54" t="n">
        <v>56</v>
      </c>
      <c r="C85" s="54" t="s">
        <v>288</v>
      </c>
      <c r="D85" s="55" t="s">
        <v>305</v>
      </c>
      <c r="E85" s="55" t="s">
        <v>301</v>
      </c>
      <c r="F85" s="56" t="s">
        <v>276</v>
      </c>
      <c r="G85" s="55" t="s">
        <v>359</v>
      </c>
      <c r="H85" s="57" t="n">
        <v>1500</v>
      </c>
      <c r="I85" s="54" t="n">
        <v>2020</v>
      </c>
      <c r="J85" s="54" t="n">
        <v>4</v>
      </c>
      <c r="K85" s="58" t="n">
        <v>41000</v>
      </c>
      <c r="L85" s="54" t="s">
        <v>285</v>
      </c>
      <c r="M85" s="59" t="n">
        <v>0.3833</v>
      </c>
      <c r="N85" s="60" t="n">
        <v>10</v>
      </c>
      <c r="O85" s="61" t="s">
        <v>279</v>
      </c>
      <c r="P85" s="58" t="n">
        <v>1800</v>
      </c>
      <c r="Q85" s="58" t="n">
        <v>690</v>
      </c>
      <c r="R85" s="62" t="n">
        <v>0</v>
      </c>
      <c r="S85" s="58" t="n">
        <v>0</v>
      </c>
      <c r="T85" s="58" t="n">
        <v>1110</v>
      </c>
      <c r="U85" s="63" t="n">
        <v>0</v>
      </c>
      <c r="V85" s="54" t="n">
        <v>2024</v>
      </c>
    </row>
    <row r="86" customFormat="false" ht="15" hidden="false" customHeight="true" outlineLevel="0" collapsed="false">
      <c r="A86" s="45" t="s">
        <v>395</v>
      </c>
      <c r="B86" s="45" t="n">
        <v>45</v>
      </c>
      <c r="C86" s="45" t="s">
        <v>273</v>
      </c>
      <c r="D86" s="46" t="s">
        <v>307</v>
      </c>
      <c r="E86" s="46" t="s">
        <v>275</v>
      </c>
      <c r="F86" s="47" t="s">
        <v>298</v>
      </c>
      <c r="G86" s="46" t="s">
        <v>299</v>
      </c>
      <c r="H86" s="48" t="n">
        <v>1496</v>
      </c>
      <c r="I86" s="45" t="n">
        <v>2015</v>
      </c>
      <c r="J86" s="45" t="n">
        <v>9</v>
      </c>
      <c r="K86" s="49" t="n">
        <v>42000</v>
      </c>
      <c r="L86" s="45" t="s">
        <v>285</v>
      </c>
      <c r="M86" s="50" t="n">
        <v>0.55</v>
      </c>
      <c r="N86" s="64" t="n">
        <v>13</v>
      </c>
      <c r="O86" s="65" t="s">
        <v>279</v>
      </c>
      <c r="P86" s="49" t="n">
        <v>1800</v>
      </c>
      <c r="Q86" s="49" t="n">
        <v>990</v>
      </c>
      <c r="R86" s="53" t="n">
        <v>0</v>
      </c>
      <c r="S86" s="49" t="n">
        <v>0</v>
      </c>
      <c r="T86" s="49" t="n">
        <v>810</v>
      </c>
      <c r="U86" s="51" t="n">
        <v>0</v>
      </c>
      <c r="V86" s="45" t="n">
        <v>2024</v>
      </c>
    </row>
    <row r="87" customFormat="false" ht="15" hidden="false" customHeight="true" outlineLevel="0" collapsed="false">
      <c r="A87" s="54" t="s">
        <v>396</v>
      </c>
      <c r="B87" s="54" t="n">
        <v>33</v>
      </c>
      <c r="C87" s="54" t="s">
        <v>273</v>
      </c>
      <c r="D87" s="55" t="s">
        <v>293</v>
      </c>
      <c r="E87" s="55" t="s">
        <v>289</v>
      </c>
      <c r="F87" s="56" t="s">
        <v>276</v>
      </c>
      <c r="G87" s="55" t="s">
        <v>359</v>
      </c>
      <c r="H87" s="57" t="n">
        <v>1500</v>
      </c>
      <c r="I87" s="54" t="n">
        <v>2024</v>
      </c>
      <c r="J87" s="54" t="n">
        <v>0</v>
      </c>
      <c r="K87" s="58" t="n">
        <v>33000</v>
      </c>
      <c r="L87" s="54" t="s">
        <v>285</v>
      </c>
      <c r="M87" s="59" t="n">
        <v>0.55</v>
      </c>
      <c r="N87" s="63" t="n">
        <v>6</v>
      </c>
      <c r="O87" s="66" t="s">
        <v>286</v>
      </c>
      <c r="P87" s="58" t="n">
        <v>1500</v>
      </c>
      <c r="Q87" s="58" t="n">
        <v>825</v>
      </c>
      <c r="R87" s="62" t="n">
        <v>0</v>
      </c>
      <c r="S87" s="58" t="n">
        <v>0</v>
      </c>
      <c r="T87" s="58" t="n">
        <v>675</v>
      </c>
      <c r="U87" s="63" t="n">
        <v>0</v>
      </c>
      <c r="V87" s="54" t="n">
        <v>2023</v>
      </c>
    </row>
    <row r="88" customFormat="false" ht="15" hidden="false" customHeight="true" outlineLevel="0" collapsed="false">
      <c r="A88" s="45" t="s">
        <v>397</v>
      </c>
      <c r="B88" s="45" t="n">
        <v>23</v>
      </c>
      <c r="C88" s="45" t="s">
        <v>273</v>
      </c>
      <c r="D88" s="46" t="s">
        <v>309</v>
      </c>
      <c r="E88" s="46" t="s">
        <v>301</v>
      </c>
      <c r="F88" s="47" t="s">
        <v>283</v>
      </c>
      <c r="G88" s="46" t="s">
        <v>349</v>
      </c>
      <c r="H88" s="48" t="n">
        <v>1498</v>
      </c>
      <c r="I88" s="45" t="n">
        <v>2017</v>
      </c>
      <c r="J88" s="45" t="n">
        <v>7</v>
      </c>
      <c r="K88" s="49" t="n">
        <v>27000</v>
      </c>
      <c r="L88" s="45" t="s">
        <v>285</v>
      </c>
      <c r="M88" s="50" t="n">
        <v>0.3</v>
      </c>
      <c r="N88" s="70" t="n">
        <v>18</v>
      </c>
      <c r="O88" s="65" t="s">
        <v>318</v>
      </c>
      <c r="P88" s="49" t="n">
        <v>1200</v>
      </c>
      <c r="Q88" s="49" t="n">
        <v>360</v>
      </c>
      <c r="R88" s="53" t="n">
        <v>0</v>
      </c>
      <c r="S88" s="49" t="n">
        <v>0</v>
      </c>
      <c r="T88" s="49" t="n">
        <v>840</v>
      </c>
      <c r="U88" s="51" t="n">
        <v>0</v>
      </c>
      <c r="V88" s="45" t="n">
        <v>2024</v>
      </c>
    </row>
    <row r="89" customFormat="false" ht="15" hidden="false" customHeight="true" outlineLevel="0" collapsed="false">
      <c r="A89" s="54" t="s">
        <v>398</v>
      </c>
      <c r="B89" s="54" t="n">
        <v>33</v>
      </c>
      <c r="C89" s="54" t="s">
        <v>273</v>
      </c>
      <c r="D89" s="55" t="s">
        <v>305</v>
      </c>
      <c r="E89" s="55" t="s">
        <v>312</v>
      </c>
      <c r="F89" s="56" t="s">
        <v>302</v>
      </c>
      <c r="G89" s="55" t="s">
        <v>326</v>
      </c>
      <c r="H89" s="57" t="n">
        <v>1496</v>
      </c>
      <c r="I89" s="54" t="n">
        <v>2021</v>
      </c>
      <c r="J89" s="54" t="n">
        <v>3</v>
      </c>
      <c r="K89" s="58" t="n">
        <v>77000</v>
      </c>
      <c r="L89" s="54" t="s">
        <v>285</v>
      </c>
      <c r="M89" s="59" t="n">
        <v>0.55</v>
      </c>
      <c r="N89" s="60" t="n">
        <v>12</v>
      </c>
      <c r="O89" s="61" t="s">
        <v>279</v>
      </c>
      <c r="P89" s="58" t="n">
        <v>3400</v>
      </c>
      <c r="Q89" s="58" t="n">
        <v>1870</v>
      </c>
      <c r="R89" s="62" t="n">
        <v>0</v>
      </c>
      <c r="S89" s="58" t="n">
        <v>0</v>
      </c>
      <c r="T89" s="58" t="n">
        <v>1530</v>
      </c>
      <c r="U89" s="63" t="n">
        <v>0</v>
      </c>
      <c r="V89" s="54" t="n">
        <v>2022</v>
      </c>
    </row>
    <row r="90" customFormat="false" ht="15" hidden="false" customHeight="true" outlineLevel="0" collapsed="false">
      <c r="A90" s="45" t="s">
        <v>399</v>
      </c>
      <c r="B90" s="45" t="n">
        <v>33</v>
      </c>
      <c r="C90" s="45" t="s">
        <v>288</v>
      </c>
      <c r="D90" s="46" t="s">
        <v>274</v>
      </c>
      <c r="E90" s="46" t="s">
        <v>383</v>
      </c>
      <c r="F90" s="47" t="s">
        <v>400</v>
      </c>
      <c r="G90" s="46" t="s">
        <v>401</v>
      </c>
      <c r="H90" s="48" t="n">
        <v>1998</v>
      </c>
      <c r="I90" s="45" t="n">
        <v>2018</v>
      </c>
      <c r="J90" s="45" t="n">
        <v>6</v>
      </c>
      <c r="K90" s="49" t="n">
        <v>178000</v>
      </c>
      <c r="L90" s="45" t="s">
        <v>285</v>
      </c>
      <c r="M90" s="50" t="n">
        <v>0</v>
      </c>
      <c r="N90" s="70" t="n">
        <v>17</v>
      </c>
      <c r="O90" s="65" t="s">
        <v>318</v>
      </c>
      <c r="P90" s="49" t="n">
        <v>8900</v>
      </c>
      <c r="Q90" s="49" t="n">
        <v>0</v>
      </c>
      <c r="R90" s="53" t="n">
        <v>0</v>
      </c>
      <c r="S90" s="49" t="n">
        <v>0</v>
      </c>
      <c r="T90" s="49" t="n">
        <v>8900</v>
      </c>
      <c r="U90" s="51" t="n">
        <v>0</v>
      </c>
      <c r="V90" s="45" t="n">
        <v>2022</v>
      </c>
    </row>
    <row r="91" customFormat="false" ht="15" hidden="false" customHeight="true" outlineLevel="0" collapsed="false">
      <c r="A91" s="54" t="s">
        <v>402</v>
      </c>
      <c r="B91" s="54" t="n">
        <v>50</v>
      </c>
      <c r="C91" s="54" t="s">
        <v>288</v>
      </c>
      <c r="D91" s="55" t="s">
        <v>274</v>
      </c>
      <c r="E91" s="55" t="s">
        <v>275</v>
      </c>
      <c r="F91" s="56" t="s">
        <v>276</v>
      </c>
      <c r="G91" s="55" t="s">
        <v>314</v>
      </c>
      <c r="H91" s="57" t="n">
        <v>850</v>
      </c>
      <c r="I91" s="54" t="n">
        <v>2020</v>
      </c>
      <c r="J91" s="54" t="n">
        <v>4</v>
      </c>
      <c r="K91" s="58" t="n">
        <v>19000</v>
      </c>
      <c r="L91" s="54" t="s">
        <v>285</v>
      </c>
      <c r="M91" s="59" t="n">
        <v>0.3833</v>
      </c>
      <c r="N91" s="63" t="n">
        <v>6</v>
      </c>
      <c r="O91" s="66" t="s">
        <v>286</v>
      </c>
      <c r="P91" s="58" t="n">
        <v>800</v>
      </c>
      <c r="Q91" s="58" t="n">
        <v>307</v>
      </c>
      <c r="R91" s="62" t="n">
        <v>0</v>
      </c>
      <c r="S91" s="58" t="n">
        <v>0</v>
      </c>
      <c r="T91" s="58" t="n">
        <v>493</v>
      </c>
      <c r="U91" s="63" t="n">
        <v>0</v>
      </c>
      <c r="V91" s="54" t="n">
        <v>2023</v>
      </c>
    </row>
    <row r="92" customFormat="false" ht="15" hidden="false" customHeight="true" outlineLevel="0" collapsed="false">
      <c r="A92" s="45" t="s">
        <v>403</v>
      </c>
      <c r="B92" s="45" t="n">
        <v>46</v>
      </c>
      <c r="C92" s="45" t="s">
        <v>288</v>
      </c>
      <c r="D92" s="46" t="s">
        <v>307</v>
      </c>
      <c r="E92" s="46" t="s">
        <v>275</v>
      </c>
      <c r="F92" s="47" t="s">
        <v>276</v>
      </c>
      <c r="G92" s="46" t="s">
        <v>314</v>
      </c>
      <c r="H92" s="48" t="n">
        <v>850</v>
      </c>
      <c r="I92" s="45" t="n">
        <v>2024</v>
      </c>
      <c r="J92" s="45" t="n">
        <v>0</v>
      </c>
      <c r="K92" s="49" t="n">
        <v>20000</v>
      </c>
      <c r="L92" s="45" t="s">
        <v>285</v>
      </c>
      <c r="M92" s="50" t="n">
        <v>0.25</v>
      </c>
      <c r="N92" s="64" t="n">
        <v>13</v>
      </c>
      <c r="O92" s="65" t="s">
        <v>279</v>
      </c>
      <c r="P92" s="49" t="n">
        <v>800</v>
      </c>
      <c r="Q92" s="49" t="n">
        <v>200</v>
      </c>
      <c r="R92" s="53" t="n">
        <v>0</v>
      </c>
      <c r="S92" s="49" t="n">
        <v>0</v>
      </c>
      <c r="T92" s="49" t="n">
        <v>600</v>
      </c>
      <c r="U92" s="51" t="n">
        <v>0</v>
      </c>
      <c r="V92" s="45" t="n">
        <v>2023</v>
      </c>
    </row>
    <row r="93" customFormat="false" ht="15" hidden="false" customHeight="true" outlineLevel="0" collapsed="false">
      <c r="A93" s="54" t="s">
        <v>404</v>
      </c>
      <c r="B93" s="54" t="n">
        <v>58</v>
      </c>
      <c r="C93" s="54" t="s">
        <v>273</v>
      </c>
      <c r="D93" s="55" t="s">
        <v>293</v>
      </c>
      <c r="E93" s="55" t="s">
        <v>383</v>
      </c>
      <c r="F93" s="56" t="s">
        <v>302</v>
      </c>
      <c r="G93" s="55" t="s">
        <v>303</v>
      </c>
      <c r="H93" s="57" t="n">
        <v>1498</v>
      </c>
      <c r="I93" s="54" t="n">
        <v>2022</v>
      </c>
      <c r="J93" s="54" t="n">
        <v>2</v>
      </c>
      <c r="K93" s="58" t="n">
        <v>109000</v>
      </c>
      <c r="L93" s="54" t="s">
        <v>285</v>
      </c>
      <c r="M93" s="59" t="n">
        <v>0.25</v>
      </c>
      <c r="N93" s="60" t="n">
        <v>12</v>
      </c>
      <c r="O93" s="61" t="s">
        <v>279</v>
      </c>
      <c r="P93" s="58" t="n">
        <v>4800</v>
      </c>
      <c r="Q93" s="58" t="n">
        <v>1200</v>
      </c>
      <c r="R93" s="62" t="n">
        <v>0</v>
      </c>
      <c r="S93" s="58" t="n">
        <v>0</v>
      </c>
      <c r="T93" s="58" t="n">
        <v>3600</v>
      </c>
      <c r="U93" s="63" t="n">
        <v>0</v>
      </c>
      <c r="V93" s="54" t="n">
        <v>2023</v>
      </c>
    </row>
    <row r="94" customFormat="false" ht="15" hidden="false" customHeight="true" outlineLevel="0" collapsed="false">
      <c r="A94" s="45" t="s">
        <v>405</v>
      </c>
      <c r="B94" s="45" t="n">
        <v>39</v>
      </c>
      <c r="C94" s="45" t="s">
        <v>273</v>
      </c>
      <c r="D94" s="46" t="s">
        <v>307</v>
      </c>
      <c r="E94" s="46" t="s">
        <v>301</v>
      </c>
      <c r="F94" s="47" t="s">
        <v>276</v>
      </c>
      <c r="G94" s="46" t="s">
        <v>277</v>
      </c>
      <c r="H94" s="48" t="n">
        <v>1300</v>
      </c>
      <c r="I94" s="45" t="n">
        <v>2019</v>
      </c>
      <c r="J94" s="45" t="n">
        <v>5</v>
      </c>
      <c r="K94" s="49" t="n">
        <v>22000</v>
      </c>
      <c r="L94" s="45" t="s">
        <v>285</v>
      </c>
      <c r="M94" s="50" t="n">
        <v>0.3833</v>
      </c>
      <c r="N94" s="64" t="n">
        <v>9</v>
      </c>
      <c r="O94" s="65" t="s">
        <v>279</v>
      </c>
      <c r="P94" s="49" t="n">
        <v>1000</v>
      </c>
      <c r="Q94" s="49" t="n">
        <v>383</v>
      </c>
      <c r="R94" s="53" t="n">
        <v>0</v>
      </c>
      <c r="S94" s="49" t="n">
        <v>0</v>
      </c>
      <c r="T94" s="49" t="n">
        <v>617</v>
      </c>
      <c r="U94" s="51" t="n">
        <v>0</v>
      </c>
      <c r="V94" s="45" t="n">
        <v>2023</v>
      </c>
    </row>
    <row r="95" customFormat="false" ht="15" hidden="false" customHeight="true" outlineLevel="0" collapsed="false">
      <c r="A95" s="54" t="s">
        <v>406</v>
      </c>
      <c r="B95" s="54" t="n">
        <v>26</v>
      </c>
      <c r="C95" s="54" t="s">
        <v>288</v>
      </c>
      <c r="D95" s="55" t="s">
        <v>281</v>
      </c>
      <c r="E95" s="55" t="s">
        <v>383</v>
      </c>
      <c r="F95" s="56" t="s">
        <v>276</v>
      </c>
      <c r="G95" s="55" t="s">
        <v>314</v>
      </c>
      <c r="H95" s="57" t="n">
        <v>850</v>
      </c>
      <c r="I95" s="54" t="n">
        <v>2021</v>
      </c>
      <c r="J95" s="54" t="n">
        <v>3</v>
      </c>
      <c r="K95" s="58" t="n">
        <v>14000</v>
      </c>
      <c r="L95" s="54" t="s">
        <v>285</v>
      </c>
      <c r="M95" s="59" t="n">
        <v>0.45</v>
      </c>
      <c r="N95" s="63" t="n">
        <v>6</v>
      </c>
      <c r="O95" s="66" t="s">
        <v>286</v>
      </c>
      <c r="P95" s="58" t="n">
        <v>800</v>
      </c>
      <c r="Q95" s="58" t="n">
        <v>360</v>
      </c>
      <c r="R95" s="62" t="n">
        <v>0</v>
      </c>
      <c r="S95" s="58" t="n">
        <v>0</v>
      </c>
      <c r="T95" s="58" t="n">
        <v>440</v>
      </c>
      <c r="U95" s="63" t="n">
        <v>0</v>
      </c>
      <c r="V95" s="54" t="n">
        <v>2024</v>
      </c>
    </row>
    <row r="96" customFormat="false" ht="15" hidden="false" customHeight="true" outlineLevel="0" collapsed="false">
      <c r="A96" s="45" t="s">
        <v>407</v>
      </c>
      <c r="B96" s="45" t="n">
        <v>49</v>
      </c>
      <c r="C96" s="45" t="s">
        <v>288</v>
      </c>
      <c r="D96" s="46" t="s">
        <v>309</v>
      </c>
      <c r="E96" s="46" t="s">
        <v>336</v>
      </c>
      <c r="F96" s="47" t="s">
        <v>298</v>
      </c>
      <c r="G96" s="46" t="s">
        <v>299</v>
      </c>
      <c r="H96" s="48" t="n">
        <v>1496</v>
      </c>
      <c r="I96" s="45" t="n">
        <v>2018</v>
      </c>
      <c r="J96" s="45" t="n">
        <v>6</v>
      </c>
      <c r="K96" s="49" t="n">
        <v>56000</v>
      </c>
      <c r="L96" s="45" t="s">
        <v>285</v>
      </c>
      <c r="M96" s="50" t="n">
        <v>0.45</v>
      </c>
      <c r="N96" s="64" t="n">
        <v>15</v>
      </c>
      <c r="O96" s="65" t="s">
        <v>279</v>
      </c>
      <c r="P96" s="49" t="n">
        <v>2500</v>
      </c>
      <c r="Q96" s="49" t="n">
        <v>1125</v>
      </c>
      <c r="R96" s="53" t="n">
        <v>0</v>
      </c>
      <c r="S96" s="49" t="n">
        <v>0</v>
      </c>
      <c r="T96" s="49" t="n">
        <v>1375</v>
      </c>
      <c r="U96" s="51" t="n">
        <v>0</v>
      </c>
      <c r="V96" s="45" t="n">
        <v>2024</v>
      </c>
    </row>
    <row r="97" customFormat="false" ht="15" hidden="false" customHeight="true" outlineLevel="0" collapsed="false">
      <c r="A97" s="54" t="s">
        <v>408</v>
      </c>
      <c r="B97" s="54" t="n">
        <v>51</v>
      </c>
      <c r="C97" s="54" t="s">
        <v>273</v>
      </c>
      <c r="D97" s="55" t="s">
        <v>307</v>
      </c>
      <c r="E97" s="55" t="s">
        <v>336</v>
      </c>
      <c r="F97" s="56" t="s">
        <v>283</v>
      </c>
      <c r="G97" s="55" t="s">
        <v>284</v>
      </c>
      <c r="H97" s="57" t="n">
        <v>1332</v>
      </c>
      <c r="I97" s="54" t="n">
        <v>2019</v>
      </c>
      <c r="J97" s="54" t="n">
        <v>5</v>
      </c>
      <c r="K97" s="58" t="n">
        <v>31000</v>
      </c>
      <c r="L97" s="54" t="s">
        <v>285</v>
      </c>
      <c r="M97" s="59" t="n">
        <v>0.3</v>
      </c>
      <c r="N97" s="63" t="n">
        <v>8</v>
      </c>
      <c r="O97" s="66" t="s">
        <v>286</v>
      </c>
      <c r="P97" s="58" t="n">
        <v>1400</v>
      </c>
      <c r="Q97" s="58" t="n">
        <v>420</v>
      </c>
      <c r="R97" s="62" t="n">
        <v>0</v>
      </c>
      <c r="S97" s="58" t="n">
        <v>0</v>
      </c>
      <c r="T97" s="58" t="n">
        <v>980</v>
      </c>
      <c r="U97" s="63" t="n">
        <v>0</v>
      </c>
      <c r="V97" s="54" t="n">
        <v>2023</v>
      </c>
    </row>
    <row r="98" customFormat="false" ht="15" hidden="false" customHeight="true" outlineLevel="0" collapsed="false">
      <c r="A98" s="45" t="s">
        <v>409</v>
      </c>
      <c r="B98" s="45" t="n">
        <v>42</v>
      </c>
      <c r="C98" s="45" t="s">
        <v>273</v>
      </c>
      <c r="D98" s="46" t="s">
        <v>309</v>
      </c>
      <c r="E98" s="46" t="s">
        <v>289</v>
      </c>
      <c r="F98" s="47" t="s">
        <v>276</v>
      </c>
      <c r="G98" s="46" t="s">
        <v>314</v>
      </c>
      <c r="H98" s="48" t="n">
        <v>850</v>
      </c>
      <c r="I98" s="45" t="n">
        <v>2023</v>
      </c>
      <c r="J98" s="45" t="n">
        <v>1</v>
      </c>
      <c r="K98" s="49" t="n">
        <v>20000</v>
      </c>
      <c r="L98" s="45" t="s">
        <v>285</v>
      </c>
      <c r="M98" s="50" t="n">
        <v>0.3833</v>
      </c>
      <c r="N98" s="51" t="n">
        <v>8</v>
      </c>
      <c r="O98" s="52" t="s">
        <v>286</v>
      </c>
      <c r="P98" s="49" t="n">
        <v>800</v>
      </c>
      <c r="Q98" s="49" t="n">
        <v>307</v>
      </c>
      <c r="R98" s="53" t="n">
        <v>0</v>
      </c>
      <c r="S98" s="49" t="n">
        <v>0</v>
      </c>
      <c r="T98" s="49" t="n">
        <v>493</v>
      </c>
      <c r="U98" s="51" t="n">
        <v>0</v>
      </c>
      <c r="V98" s="45" t="n">
        <v>2023</v>
      </c>
    </row>
    <row r="99" customFormat="false" ht="15" hidden="false" customHeight="true" outlineLevel="0" collapsed="false">
      <c r="A99" s="54" t="s">
        <v>410</v>
      </c>
      <c r="B99" s="54" t="n">
        <v>52</v>
      </c>
      <c r="C99" s="54" t="s">
        <v>288</v>
      </c>
      <c r="D99" s="55" t="s">
        <v>330</v>
      </c>
      <c r="E99" s="55" t="s">
        <v>275</v>
      </c>
      <c r="F99" s="56" t="s">
        <v>302</v>
      </c>
      <c r="G99" s="55" t="s">
        <v>303</v>
      </c>
      <c r="H99" s="57" t="n">
        <v>1498</v>
      </c>
      <c r="I99" s="54" t="n">
        <v>2016</v>
      </c>
      <c r="J99" s="54" t="n">
        <v>8</v>
      </c>
      <c r="K99" s="58" t="n">
        <v>73000</v>
      </c>
      <c r="L99" s="54" t="s">
        <v>285</v>
      </c>
      <c r="M99" s="59" t="n">
        <v>0.55</v>
      </c>
      <c r="N99" s="60" t="n">
        <v>10</v>
      </c>
      <c r="O99" s="61" t="s">
        <v>279</v>
      </c>
      <c r="P99" s="58" t="n">
        <v>3200</v>
      </c>
      <c r="Q99" s="58" t="n">
        <v>1760</v>
      </c>
      <c r="R99" s="62" t="n">
        <v>0</v>
      </c>
      <c r="S99" s="58" t="n">
        <v>0</v>
      </c>
      <c r="T99" s="58" t="n">
        <v>1440</v>
      </c>
      <c r="U99" s="63" t="n">
        <v>0</v>
      </c>
      <c r="V99" s="54" t="n">
        <v>2024</v>
      </c>
    </row>
    <row r="100" customFormat="false" ht="15" hidden="false" customHeight="true" outlineLevel="0" collapsed="false">
      <c r="A100" s="45" t="s">
        <v>411</v>
      </c>
      <c r="B100" s="45" t="n">
        <v>39</v>
      </c>
      <c r="C100" s="45" t="s">
        <v>288</v>
      </c>
      <c r="D100" s="46" t="s">
        <v>330</v>
      </c>
      <c r="E100" s="46" t="s">
        <v>310</v>
      </c>
      <c r="F100" s="47" t="s">
        <v>276</v>
      </c>
      <c r="G100" s="46" t="s">
        <v>277</v>
      </c>
      <c r="H100" s="48" t="n">
        <v>1300</v>
      </c>
      <c r="I100" s="45" t="n">
        <v>2021</v>
      </c>
      <c r="J100" s="45" t="n">
        <v>3</v>
      </c>
      <c r="K100" s="49" t="n">
        <v>18000</v>
      </c>
      <c r="L100" s="45" t="s">
        <v>285</v>
      </c>
      <c r="M100" s="50" t="n">
        <v>0.3833</v>
      </c>
      <c r="N100" s="64" t="n">
        <v>15</v>
      </c>
      <c r="O100" s="65" t="s">
        <v>279</v>
      </c>
      <c r="P100" s="49" t="n">
        <v>800</v>
      </c>
      <c r="Q100" s="49" t="n">
        <v>307</v>
      </c>
      <c r="R100" s="53" t="n">
        <v>0</v>
      </c>
      <c r="S100" s="49" t="n">
        <v>0</v>
      </c>
      <c r="T100" s="49" t="n">
        <v>493</v>
      </c>
      <c r="U100" s="51" t="n">
        <v>0</v>
      </c>
      <c r="V100" s="45" t="n">
        <v>2023</v>
      </c>
    </row>
    <row r="101" customFormat="false" ht="15" hidden="false" customHeight="true" outlineLevel="0" collapsed="false">
      <c r="A101" s="54" t="s">
        <v>412</v>
      </c>
      <c r="B101" s="54" t="n">
        <v>40</v>
      </c>
      <c r="C101" s="54" t="s">
        <v>288</v>
      </c>
      <c r="D101" s="55" t="s">
        <v>293</v>
      </c>
      <c r="E101" s="55" t="s">
        <v>383</v>
      </c>
      <c r="F101" s="56" t="s">
        <v>276</v>
      </c>
      <c r="G101" s="55" t="s">
        <v>277</v>
      </c>
      <c r="H101" s="57" t="n">
        <v>1300</v>
      </c>
      <c r="I101" s="54" t="n">
        <v>2018</v>
      </c>
      <c r="J101" s="54" t="n">
        <v>6</v>
      </c>
      <c r="K101" s="58" t="n">
        <v>29000</v>
      </c>
      <c r="L101" s="54" t="s">
        <v>285</v>
      </c>
      <c r="M101" s="59" t="n">
        <v>0.55</v>
      </c>
      <c r="N101" s="60" t="n">
        <v>11</v>
      </c>
      <c r="O101" s="61" t="s">
        <v>279</v>
      </c>
      <c r="P101" s="58" t="n">
        <v>1300</v>
      </c>
      <c r="Q101" s="58" t="n">
        <v>715</v>
      </c>
      <c r="R101" s="62" t="n">
        <v>0</v>
      </c>
      <c r="S101" s="58" t="n">
        <v>0</v>
      </c>
      <c r="T101" s="58" t="n">
        <v>585</v>
      </c>
      <c r="U101" s="63" t="n">
        <v>0</v>
      </c>
      <c r="V101" s="54" t="n">
        <v>2022</v>
      </c>
    </row>
    <row r="102" customFormat="false" ht="15" hidden="false" customHeight="true" outlineLevel="0" collapsed="false">
      <c r="A102" s="45" t="s">
        <v>413</v>
      </c>
      <c r="B102" s="45" t="n">
        <v>37</v>
      </c>
      <c r="C102" s="45" t="s">
        <v>273</v>
      </c>
      <c r="D102" s="46" t="s">
        <v>307</v>
      </c>
      <c r="E102" s="46" t="s">
        <v>301</v>
      </c>
      <c r="F102" s="47" t="s">
        <v>283</v>
      </c>
      <c r="G102" s="46" t="s">
        <v>338</v>
      </c>
      <c r="H102" s="48" t="n">
        <v>1600</v>
      </c>
      <c r="I102" s="45" t="n">
        <v>2021</v>
      </c>
      <c r="J102" s="45" t="n">
        <v>3</v>
      </c>
      <c r="K102" s="49" t="n">
        <v>21000</v>
      </c>
      <c r="L102" s="45" t="s">
        <v>285</v>
      </c>
      <c r="M102" s="50" t="n">
        <v>0</v>
      </c>
      <c r="N102" s="64" t="n">
        <v>13</v>
      </c>
      <c r="O102" s="65" t="s">
        <v>279</v>
      </c>
      <c r="P102" s="49" t="n">
        <v>1000</v>
      </c>
      <c r="Q102" s="49" t="n">
        <v>0</v>
      </c>
      <c r="R102" s="53" t="n">
        <v>0</v>
      </c>
      <c r="S102" s="49" t="n">
        <v>0</v>
      </c>
      <c r="T102" s="49" t="n">
        <v>1000</v>
      </c>
      <c r="U102" s="51" t="n">
        <v>0</v>
      </c>
      <c r="V102" s="45" t="n">
        <v>2022</v>
      </c>
    </row>
    <row r="103" customFormat="false" ht="15" hidden="false" customHeight="true" outlineLevel="0" collapsed="false">
      <c r="A103" s="54" t="s">
        <v>414</v>
      </c>
      <c r="B103" s="54" t="n">
        <v>22</v>
      </c>
      <c r="C103" s="54" t="s">
        <v>288</v>
      </c>
      <c r="D103" s="55" t="s">
        <v>274</v>
      </c>
      <c r="E103" s="55" t="s">
        <v>301</v>
      </c>
      <c r="F103" s="56" t="s">
        <v>283</v>
      </c>
      <c r="G103" s="55" t="s">
        <v>349</v>
      </c>
      <c r="H103" s="57" t="n">
        <v>1498</v>
      </c>
      <c r="I103" s="54" t="n">
        <v>2023</v>
      </c>
      <c r="J103" s="54" t="n">
        <v>1</v>
      </c>
      <c r="K103" s="58" t="n">
        <v>41000</v>
      </c>
      <c r="L103" s="54" t="s">
        <v>285</v>
      </c>
      <c r="M103" s="59" t="n">
        <v>0.25</v>
      </c>
      <c r="N103" s="60" t="n">
        <v>14</v>
      </c>
      <c r="O103" s="61" t="s">
        <v>279</v>
      </c>
      <c r="P103" s="58" t="n">
        <v>1800</v>
      </c>
      <c r="Q103" s="58" t="n">
        <v>450</v>
      </c>
      <c r="R103" s="62" t="n">
        <v>0</v>
      </c>
      <c r="S103" s="58" t="n">
        <v>0</v>
      </c>
      <c r="T103" s="58" t="n">
        <v>1350</v>
      </c>
      <c r="U103" s="63" t="n">
        <v>0</v>
      </c>
      <c r="V103" s="54" t="n">
        <v>2023</v>
      </c>
    </row>
    <row r="104" customFormat="false" ht="15" hidden="false" customHeight="true" outlineLevel="0" collapsed="false">
      <c r="A104" s="45" t="s">
        <v>415</v>
      </c>
      <c r="B104" s="45" t="n">
        <v>25</v>
      </c>
      <c r="C104" s="45" t="s">
        <v>288</v>
      </c>
      <c r="D104" s="46" t="s">
        <v>293</v>
      </c>
      <c r="E104" s="46" t="s">
        <v>294</v>
      </c>
      <c r="F104" s="47" t="s">
        <v>276</v>
      </c>
      <c r="G104" s="46" t="s">
        <v>314</v>
      </c>
      <c r="H104" s="48" t="n">
        <v>850</v>
      </c>
      <c r="I104" s="45" t="n">
        <v>2020</v>
      </c>
      <c r="J104" s="45" t="n">
        <v>4</v>
      </c>
      <c r="K104" s="49" t="n">
        <v>14000</v>
      </c>
      <c r="L104" s="45" t="s">
        <v>285</v>
      </c>
      <c r="M104" s="50" t="n">
        <v>0.25</v>
      </c>
      <c r="N104" s="64" t="n">
        <v>11</v>
      </c>
      <c r="O104" s="65" t="s">
        <v>279</v>
      </c>
      <c r="P104" s="49" t="n">
        <v>800</v>
      </c>
      <c r="Q104" s="49" t="n">
        <v>200</v>
      </c>
      <c r="R104" s="53" t="n">
        <v>0</v>
      </c>
      <c r="S104" s="49" t="n">
        <v>0</v>
      </c>
      <c r="T104" s="49" t="n">
        <v>600</v>
      </c>
      <c r="U104" s="51" t="n">
        <v>0</v>
      </c>
      <c r="V104" s="45" t="n">
        <v>2024</v>
      </c>
    </row>
    <row r="105" customFormat="false" ht="15" hidden="false" customHeight="true" outlineLevel="0" collapsed="false">
      <c r="A105" s="54" t="s">
        <v>416</v>
      </c>
      <c r="B105" s="54" t="n">
        <v>22</v>
      </c>
      <c r="C105" s="54" t="s">
        <v>273</v>
      </c>
      <c r="D105" s="55" t="s">
        <v>293</v>
      </c>
      <c r="E105" s="55" t="s">
        <v>294</v>
      </c>
      <c r="F105" s="56" t="s">
        <v>276</v>
      </c>
      <c r="G105" s="55" t="s">
        <v>277</v>
      </c>
      <c r="H105" s="57" t="n">
        <v>1300</v>
      </c>
      <c r="I105" s="54" t="n">
        <v>2021</v>
      </c>
      <c r="J105" s="54" t="n">
        <v>3</v>
      </c>
      <c r="K105" s="58" t="n">
        <v>24000</v>
      </c>
      <c r="L105" s="54" t="s">
        <v>278</v>
      </c>
      <c r="M105" s="59" t="n">
        <v>0.55</v>
      </c>
      <c r="N105" s="60" t="n">
        <v>15</v>
      </c>
      <c r="O105" s="61" t="s">
        <v>279</v>
      </c>
      <c r="P105" s="58" t="n">
        <v>1300</v>
      </c>
      <c r="Q105" s="58" t="n">
        <v>715</v>
      </c>
      <c r="R105" s="62" t="n">
        <v>0</v>
      </c>
      <c r="S105" s="58" t="n">
        <v>0</v>
      </c>
      <c r="T105" s="58" t="n">
        <v>585</v>
      </c>
      <c r="U105" s="63" t="n">
        <v>0</v>
      </c>
      <c r="V105" s="54" t="n">
        <v>2022</v>
      </c>
    </row>
    <row r="106" customFormat="false" ht="15" hidden="false" customHeight="true" outlineLevel="0" collapsed="false">
      <c r="A106" s="45" t="s">
        <v>417</v>
      </c>
      <c r="B106" s="45" t="n">
        <v>45</v>
      </c>
      <c r="C106" s="45" t="s">
        <v>288</v>
      </c>
      <c r="D106" s="46" t="s">
        <v>330</v>
      </c>
      <c r="E106" s="46" t="s">
        <v>289</v>
      </c>
      <c r="F106" s="47" t="s">
        <v>276</v>
      </c>
      <c r="G106" s="46" t="s">
        <v>277</v>
      </c>
      <c r="H106" s="48" t="n">
        <v>1300</v>
      </c>
      <c r="I106" s="45" t="n">
        <v>2017</v>
      </c>
      <c r="J106" s="45" t="n">
        <v>7</v>
      </c>
      <c r="K106" s="49" t="n">
        <v>36000</v>
      </c>
      <c r="L106" s="45" t="s">
        <v>285</v>
      </c>
      <c r="M106" s="50" t="n">
        <v>0.55</v>
      </c>
      <c r="N106" s="64" t="n">
        <v>14</v>
      </c>
      <c r="O106" s="65" t="s">
        <v>279</v>
      </c>
      <c r="P106" s="49" t="n">
        <v>1600</v>
      </c>
      <c r="Q106" s="49" t="n">
        <v>880</v>
      </c>
      <c r="R106" s="53" t="n">
        <v>0</v>
      </c>
      <c r="S106" s="49" t="n">
        <v>0</v>
      </c>
      <c r="T106" s="49" t="n">
        <v>720</v>
      </c>
      <c r="U106" s="51" t="n">
        <v>0</v>
      </c>
      <c r="V106" s="45" t="n">
        <v>2022</v>
      </c>
    </row>
    <row r="107" customFormat="false" ht="15" hidden="false" customHeight="true" outlineLevel="0" collapsed="false">
      <c r="A107" s="54" t="s">
        <v>418</v>
      </c>
      <c r="B107" s="54" t="n">
        <v>33</v>
      </c>
      <c r="C107" s="54" t="s">
        <v>273</v>
      </c>
      <c r="D107" s="55" t="s">
        <v>281</v>
      </c>
      <c r="E107" s="55" t="s">
        <v>289</v>
      </c>
      <c r="F107" s="56" t="s">
        <v>419</v>
      </c>
      <c r="G107" s="55" t="s">
        <v>420</v>
      </c>
      <c r="H107" s="57" t="n">
        <v>1998</v>
      </c>
      <c r="I107" s="54" t="n">
        <v>2015</v>
      </c>
      <c r="J107" s="54" t="n">
        <v>9</v>
      </c>
      <c r="K107" s="58" t="n">
        <v>69000</v>
      </c>
      <c r="L107" s="54" t="s">
        <v>278</v>
      </c>
      <c r="M107" s="59" t="n">
        <v>0.55</v>
      </c>
      <c r="N107" s="60" t="n">
        <v>16</v>
      </c>
      <c r="O107" s="61" t="s">
        <v>279</v>
      </c>
      <c r="P107" s="58" t="n">
        <v>4300</v>
      </c>
      <c r="Q107" s="58" t="n">
        <v>2365</v>
      </c>
      <c r="R107" s="62" t="n">
        <v>0</v>
      </c>
      <c r="S107" s="58" t="n">
        <v>0</v>
      </c>
      <c r="T107" s="58" t="n">
        <v>1935</v>
      </c>
      <c r="U107" s="63" t="n">
        <v>0</v>
      </c>
      <c r="V107" s="54" t="n">
        <v>2022</v>
      </c>
    </row>
    <row r="108" customFormat="false" ht="15" hidden="false" customHeight="true" outlineLevel="0" collapsed="false">
      <c r="A108" s="45" t="s">
        <v>421</v>
      </c>
      <c r="B108" s="45" t="n">
        <v>40</v>
      </c>
      <c r="C108" s="45" t="s">
        <v>273</v>
      </c>
      <c r="D108" s="46" t="s">
        <v>307</v>
      </c>
      <c r="E108" s="46" t="s">
        <v>289</v>
      </c>
      <c r="F108" s="47" t="s">
        <v>276</v>
      </c>
      <c r="G108" s="46" t="s">
        <v>314</v>
      </c>
      <c r="H108" s="48" t="n">
        <v>850</v>
      </c>
      <c r="I108" s="45" t="n">
        <v>2018</v>
      </c>
      <c r="J108" s="45" t="n">
        <v>6</v>
      </c>
      <c r="K108" s="49" t="n">
        <v>17000</v>
      </c>
      <c r="L108" s="45" t="s">
        <v>285</v>
      </c>
      <c r="M108" s="50" t="n">
        <v>0.3</v>
      </c>
      <c r="N108" s="51" t="n">
        <v>7</v>
      </c>
      <c r="O108" s="52" t="s">
        <v>286</v>
      </c>
      <c r="P108" s="49" t="n">
        <v>800</v>
      </c>
      <c r="Q108" s="49" t="n">
        <v>240</v>
      </c>
      <c r="R108" s="53" t="n">
        <v>0</v>
      </c>
      <c r="S108" s="49" t="n">
        <v>0</v>
      </c>
      <c r="T108" s="49" t="n">
        <v>560</v>
      </c>
      <c r="U108" s="51" t="n">
        <v>0</v>
      </c>
      <c r="V108" s="45" t="n">
        <v>2023</v>
      </c>
    </row>
    <row r="109" customFormat="false" ht="15" hidden="false" customHeight="true" outlineLevel="0" collapsed="false">
      <c r="A109" s="35" t="s">
        <v>422</v>
      </c>
      <c r="B109" s="35" t="n">
        <v>60</v>
      </c>
      <c r="C109" s="35" t="s">
        <v>273</v>
      </c>
      <c r="D109" s="36" t="s">
        <v>309</v>
      </c>
      <c r="E109" s="36" t="s">
        <v>301</v>
      </c>
      <c r="F109" s="37" t="s">
        <v>298</v>
      </c>
      <c r="G109" s="36" t="s">
        <v>299</v>
      </c>
      <c r="H109" s="38" t="n">
        <v>1496</v>
      </c>
      <c r="I109" s="35" t="n">
        <v>2023</v>
      </c>
      <c r="J109" s="35" t="n">
        <v>1</v>
      </c>
      <c r="K109" s="39" t="n">
        <v>55000</v>
      </c>
      <c r="L109" s="35" t="s">
        <v>285</v>
      </c>
      <c r="M109" s="40" t="n">
        <v>0.25</v>
      </c>
      <c r="N109" s="41" t="n">
        <v>15</v>
      </c>
      <c r="O109" s="42" t="s">
        <v>279</v>
      </c>
      <c r="P109" s="39" t="n">
        <v>2400</v>
      </c>
      <c r="Q109" s="39" t="n">
        <v>600</v>
      </c>
      <c r="R109" s="43" t="n">
        <v>0</v>
      </c>
      <c r="S109" s="39" t="n">
        <v>0</v>
      </c>
      <c r="T109" s="39" t="n">
        <v>1800</v>
      </c>
      <c r="U109" s="44" t="n">
        <v>1</v>
      </c>
      <c r="V109" s="35" t="n">
        <v>2024</v>
      </c>
    </row>
    <row r="110" customFormat="false" ht="15" hidden="false" customHeight="true" outlineLevel="0" collapsed="false">
      <c r="A110" s="45" t="s">
        <v>423</v>
      </c>
      <c r="B110" s="45" t="n">
        <v>31</v>
      </c>
      <c r="C110" s="45" t="s">
        <v>288</v>
      </c>
      <c r="D110" s="46" t="s">
        <v>281</v>
      </c>
      <c r="E110" s="46" t="s">
        <v>383</v>
      </c>
      <c r="F110" s="47" t="s">
        <v>276</v>
      </c>
      <c r="G110" s="46" t="s">
        <v>314</v>
      </c>
      <c r="H110" s="48" t="n">
        <v>850</v>
      </c>
      <c r="I110" s="45" t="n">
        <v>2022</v>
      </c>
      <c r="J110" s="45" t="n">
        <v>2</v>
      </c>
      <c r="K110" s="49" t="n">
        <v>20000</v>
      </c>
      <c r="L110" s="45" t="s">
        <v>285</v>
      </c>
      <c r="M110" s="50" t="n">
        <v>0</v>
      </c>
      <c r="N110" s="64" t="n">
        <v>11</v>
      </c>
      <c r="O110" s="65" t="s">
        <v>279</v>
      </c>
      <c r="P110" s="49" t="n">
        <v>800</v>
      </c>
      <c r="Q110" s="49" t="n">
        <v>0</v>
      </c>
      <c r="R110" s="53" t="n">
        <v>0</v>
      </c>
      <c r="S110" s="49" t="n">
        <v>0</v>
      </c>
      <c r="T110" s="49" t="n">
        <v>800</v>
      </c>
      <c r="U110" s="51" t="n">
        <v>0</v>
      </c>
      <c r="V110" s="45" t="n">
        <v>2022</v>
      </c>
    </row>
    <row r="111" customFormat="false" ht="15" hidden="false" customHeight="true" outlineLevel="0" collapsed="false">
      <c r="A111" s="54" t="s">
        <v>424</v>
      </c>
      <c r="B111" s="54" t="n">
        <v>36</v>
      </c>
      <c r="C111" s="54" t="s">
        <v>273</v>
      </c>
      <c r="D111" s="55" t="s">
        <v>307</v>
      </c>
      <c r="E111" s="55" t="s">
        <v>289</v>
      </c>
      <c r="F111" s="56" t="s">
        <v>276</v>
      </c>
      <c r="G111" s="55" t="s">
        <v>277</v>
      </c>
      <c r="H111" s="57" t="n">
        <v>1300</v>
      </c>
      <c r="I111" s="54" t="n">
        <v>2024</v>
      </c>
      <c r="J111" s="54" t="n">
        <v>0</v>
      </c>
      <c r="K111" s="58" t="n">
        <v>31000</v>
      </c>
      <c r="L111" s="54" t="s">
        <v>285</v>
      </c>
      <c r="M111" s="59" t="n">
        <v>0.55</v>
      </c>
      <c r="N111" s="60" t="n">
        <v>13</v>
      </c>
      <c r="O111" s="61" t="s">
        <v>279</v>
      </c>
      <c r="P111" s="58" t="n">
        <v>1400</v>
      </c>
      <c r="Q111" s="58" t="n">
        <v>770</v>
      </c>
      <c r="R111" s="62" t="n">
        <v>0</v>
      </c>
      <c r="S111" s="58" t="n">
        <v>0</v>
      </c>
      <c r="T111" s="58" t="n">
        <v>630</v>
      </c>
      <c r="U111" s="63" t="n">
        <v>0</v>
      </c>
      <c r="V111" s="54" t="n">
        <v>2023</v>
      </c>
    </row>
    <row r="112" customFormat="false" ht="15" hidden="false" customHeight="true" outlineLevel="0" collapsed="false">
      <c r="A112" s="45" t="s">
        <v>425</v>
      </c>
      <c r="B112" s="45" t="n">
        <v>51</v>
      </c>
      <c r="C112" s="45" t="s">
        <v>288</v>
      </c>
      <c r="D112" s="46" t="s">
        <v>293</v>
      </c>
      <c r="E112" s="46" t="s">
        <v>310</v>
      </c>
      <c r="F112" s="47" t="s">
        <v>276</v>
      </c>
      <c r="G112" s="46" t="s">
        <v>314</v>
      </c>
      <c r="H112" s="48" t="n">
        <v>850</v>
      </c>
      <c r="I112" s="45" t="n">
        <v>2023</v>
      </c>
      <c r="J112" s="45" t="n">
        <v>1</v>
      </c>
      <c r="K112" s="49" t="n">
        <v>19000</v>
      </c>
      <c r="L112" s="45" t="s">
        <v>285</v>
      </c>
      <c r="M112" s="50" t="n">
        <v>0.3833</v>
      </c>
      <c r="N112" s="51" t="n">
        <v>7</v>
      </c>
      <c r="O112" s="52" t="s">
        <v>286</v>
      </c>
      <c r="P112" s="49" t="n">
        <v>800</v>
      </c>
      <c r="Q112" s="49" t="n">
        <v>307</v>
      </c>
      <c r="R112" s="53" t="n">
        <v>0</v>
      </c>
      <c r="S112" s="49" t="n">
        <v>0</v>
      </c>
      <c r="T112" s="49" t="n">
        <v>493</v>
      </c>
      <c r="U112" s="51" t="n">
        <v>0</v>
      </c>
      <c r="V112" s="45" t="n">
        <v>2023</v>
      </c>
    </row>
    <row r="113" customFormat="false" ht="15" hidden="false" customHeight="true" outlineLevel="0" collapsed="false">
      <c r="A113" s="54" t="s">
        <v>426</v>
      </c>
      <c r="B113" s="54" t="n">
        <v>30</v>
      </c>
      <c r="C113" s="54" t="s">
        <v>288</v>
      </c>
      <c r="D113" s="55" t="s">
        <v>293</v>
      </c>
      <c r="E113" s="55" t="s">
        <v>289</v>
      </c>
      <c r="F113" s="56" t="s">
        <v>276</v>
      </c>
      <c r="G113" s="55" t="s">
        <v>343</v>
      </c>
      <c r="H113" s="57" t="n">
        <v>1300</v>
      </c>
      <c r="I113" s="54" t="n">
        <v>2019</v>
      </c>
      <c r="J113" s="54" t="n">
        <v>5</v>
      </c>
      <c r="K113" s="58" t="n">
        <v>24000</v>
      </c>
      <c r="L113" s="54" t="s">
        <v>285</v>
      </c>
      <c r="M113" s="59" t="n">
        <v>0.55</v>
      </c>
      <c r="N113" s="63" t="n">
        <v>7</v>
      </c>
      <c r="O113" s="66" t="s">
        <v>286</v>
      </c>
      <c r="P113" s="58" t="n">
        <v>1100</v>
      </c>
      <c r="Q113" s="58" t="n">
        <v>605</v>
      </c>
      <c r="R113" s="62" t="n">
        <v>0</v>
      </c>
      <c r="S113" s="58" t="n">
        <v>0</v>
      </c>
      <c r="T113" s="58" t="n">
        <v>495</v>
      </c>
      <c r="U113" s="63" t="n">
        <v>0</v>
      </c>
      <c r="V113" s="54" t="n">
        <v>2022</v>
      </c>
    </row>
    <row r="114" customFormat="false" ht="15" hidden="false" customHeight="true" outlineLevel="0" collapsed="false">
      <c r="A114" s="45" t="s">
        <v>427</v>
      </c>
      <c r="B114" s="45" t="n">
        <v>24</v>
      </c>
      <c r="C114" s="45" t="s">
        <v>273</v>
      </c>
      <c r="D114" s="46" t="s">
        <v>293</v>
      </c>
      <c r="E114" s="46" t="s">
        <v>322</v>
      </c>
      <c r="F114" s="47" t="s">
        <v>276</v>
      </c>
      <c r="G114" s="46" t="s">
        <v>277</v>
      </c>
      <c r="H114" s="48" t="n">
        <v>1300</v>
      </c>
      <c r="I114" s="45" t="n">
        <v>2017</v>
      </c>
      <c r="J114" s="45" t="n">
        <v>7</v>
      </c>
      <c r="K114" s="49" t="n">
        <v>31000</v>
      </c>
      <c r="L114" s="45" t="s">
        <v>285</v>
      </c>
      <c r="M114" s="50" t="n">
        <v>0.45</v>
      </c>
      <c r="N114" s="64" t="n">
        <v>14</v>
      </c>
      <c r="O114" s="65" t="s">
        <v>279</v>
      </c>
      <c r="P114" s="49" t="n">
        <v>1400</v>
      </c>
      <c r="Q114" s="49" t="n">
        <v>630</v>
      </c>
      <c r="R114" s="53" t="n">
        <v>0</v>
      </c>
      <c r="S114" s="49" t="n">
        <v>0</v>
      </c>
      <c r="T114" s="49" t="n">
        <v>770</v>
      </c>
      <c r="U114" s="51" t="n">
        <v>0</v>
      </c>
      <c r="V114" s="45" t="n">
        <v>2023</v>
      </c>
    </row>
    <row r="115" customFormat="false" ht="15" hidden="false" customHeight="true" outlineLevel="0" collapsed="false">
      <c r="A115" s="54" t="s">
        <v>428</v>
      </c>
      <c r="B115" s="54" t="n">
        <v>32</v>
      </c>
      <c r="C115" s="54" t="s">
        <v>273</v>
      </c>
      <c r="D115" s="55" t="s">
        <v>305</v>
      </c>
      <c r="E115" s="55" t="s">
        <v>294</v>
      </c>
      <c r="F115" s="56" t="s">
        <v>276</v>
      </c>
      <c r="G115" s="55" t="s">
        <v>343</v>
      </c>
      <c r="H115" s="57" t="n">
        <v>1300</v>
      </c>
      <c r="I115" s="54" t="n">
        <v>2015</v>
      </c>
      <c r="J115" s="54" t="n">
        <v>9</v>
      </c>
      <c r="K115" s="58" t="n">
        <v>37000</v>
      </c>
      <c r="L115" s="54" t="s">
        <v>285</v>
      </c>
      <c r="M115" s="59" t="n">
        <v>0.3</v>
      </c>
      <c r="N115" s="60" t="n">
        <v>16</v>
      </c>
      <c r="O115" s="61" t="s">
        <v>279</v>
      </c>
      <c r="P115" s="58" t="n">
        <v>1600</v>
      </c>
      <c r="Q115" s="58" t="n">
        <v>480</v>
      </c>
      <c r="R115" s="62" t="n">
        <v>0</v>
      </c>
      <c r="S115" s="58" t="n">
        <v>0</v>
      </c>
      <c r="T115" s="58" t="n">
        <v>1120</v>
      </c>
      <c r="U115" s="63" t="n">
        <v>0</v>
      </c>
      <c r="V115" s="54" t="n">
        <v>2022</v>
      </c>
    </row>
    <row r="116" customFormat="false" ht="15" hidden="false" customHeight="true" outlineLevel="0" collapsed="false">
      <c r="A116" s="45" t="s">
        <v>429</v>
      </c>
      <c r="B116" s="45" t="n">
        <v>27</v>
      </c>
      <c r="C116" s="45" t="s">
        <v>288</v>
      </c>
      <c r="D116" s="46" t="s">
        <v>281</v>
      </c>
      <c r="E116" s="46" t="s">
        <v>289</v>
      </c>
      <c r="F116" s="47" t="s">
        <v>302</v>
      </c>
      <c r="G116" s="46" t="s">
        <v>326</v>
      </c>
      <c r="H116" s="48" t="n">
        <v>1496</v>
      </c>
      <c r="I116" s="45" t="n">
        <v>2020</v>
      </c>
      <c r="J116" s="45" t="n">
        <v>4</v>
      </c>
      <c r="K116" s="49" t="n">
        <v>35000</v>
      </c>
      <c r="L116" s="45" t="s">
        <v>285</v>
      </c>
      <c r="M116" s="50" t="n">
        <v>0.25</v>
      </c>
      <c r="N116" s="64" t="n">
        <v>13</v>
      </c>
      <c r="O116" s="65" t="s">
        <v>279</v>
      </c>
      <c r="P116" s="49" t="n">
        <v>1500</v>
      </c>
      <c r="Q116" s="49" t="n">
        <v>375</v>
      </c>
      <c r="R116" s="53" t="n">
        <v>0</v>
      </c>
      <c r="S116" s="49" t="n">
        <v>0</v>
      </c>
      <c r="T116" s="49" t="n">
        <v>1125</v>
      </c>
      <c r="U116" s="51" t="n">
        <v>0</v>
      </c>
      <c r="V116" s="45" t="n">
        <v>2023</v>
      </c>
    </row>
    <row r="117" customFormat="false" ht="15" hidden="false" customHeight="true" outlineLevel="0" collapsed="false">
      <c r="A117" s="54" t="s">
        <v>430</v>
      </c>
      <c r="B117" s="54" t="n">
        <v>62</v>
      </c>
      <c r="C117" s="54" t="s">
        <v>288</v>
      </c>
      <c r="D117" s="55" t="s">
        <v>307</v>
      </c>
      <c r="E117" s="55" t="s">
        <v>282</v>
      </c>
      <c r="F117" s="56" t="s">
        <v>283</v>
      </c>
      <c r="G117" s="55" t="s">
        <v>284</v>
      </c>
      <c r="H117" s="57" t="n">
        <v>1332</v>
      </c>
      <c r="I117" s="54" t="n">
        <v>2019</v>
      </c>
      <c r="J117" s="54" t="n">
        <v>5</v>
      </c>
      <c r="K117" s="58" t="n">
        <v>14000</v>
      </c>
      <c r="L117" s="54" t="s">
        <v>285</v>
      </c>
      <c r="M117" s="59" t="n">
        <v>0.55</v>
      </c>
      <c r="N117" s="60" t="n">
        <v>12</v>
      </c>
      <c r="O117" s="61" t="s">
        <v>279</v>
      </c>
      <c r="P117" s="58" t="n">
        <v>800</v>
      </c>
      <c r="Q117" s="58" t="n">
        <v>440</v>
      </c>
      <c r="R117" s="62" t="n">
        <v>0</v>
      </c>
      <c r="S117" s="58" t="n">
        <v>0</v>
      </c>
      <c r="T117" s="58" t="n">
        <v>360</v>
      </c>
      <c r="U117" s="63" t="n">
        <v>0</v>
      </c>
      <c r="V117" s="54" t="n">
        <v>2022</v>
      </c>
    </row>
    <row r="118" customFormat="false" ht="15" hidden="false" customHeight="true" outlineLevel="0" collapsed="false">
      <c r="A118" s="45" t="s">
        <v>431</v>
      </c>
      <c r="B118" s="45" t="n">
        <v>53</v>
      </c>
      <c r="C118" s="45" t="s">
        <v>273</v>
      </c>
      <c r="D118" s="46" t="s">
        <v>307</v>
      </c>
      <c r="E118" s="46" t="s">
        <v>301</v>
      </c>
      <c r="F118" s="47" t="s">
        <v>276</v>
      </c>
      <c r="G118" s="46" t="s">
        <v>314</v>
      </c>
      <c r="H118" s="48" t="n">
        <v>850</v>
      </c>
      <c r="I118" s="45" t="n">
        <v>2015</v>
      </c>
      <c r="J118" s="45" t="n">
        <v>9</v>
      </c>
      <c r="K118" s="49" t="n">
        <v>12000</v>
      </c>
      <c r="L118" s="45" t="s">
        <v>285</v>
      </c>
      <c r="M118" s="50" t="n">
        <v>0.3833</v>
      </c>
      <c r="N118" s="64" t="n">
        <v>13</v>
      </c>
      <c r="O118" s="65" t="s">
        <v>279</v>
      </c>
      <c r="P118" s="49" t="n">
        <v>800</v>
      </c>
      <c r="Q118" s="49" t="n">
        <v>307</v>
      </c>
      <c r="R118" s="53" t="n">
        <v>0</v>
      </c>
      <c r="S118" s="49" t="n">
        <v>0</v>
      </c>
      <c r="T118" s="49" t="n">
        <v>493</v>
      </c>
      <c r="U118" s="51" t="n">
        <v>0</v>
      </c>
      <c r="V118" s="45" t="n">
        <v>2023</v>
      </c>
    </row>
    <row r="119" customFormat="false" ht="15" hidden="false" customHeight="true" outlineLevel="0" collapsed="false">
      <c r="A119" s="54" t="s">
        <v>432</v>
      </c>
      <c r="B119" s="54" t="n">
        <v>45</v>
      </c>
      <c r="C119" s="54" t="s">
        <v>273</v>
      </c>
      <c r="D119" s="55" t="s">
        <v>309</v>
      </c>
      <c r="E119" s="55" t="s">
        <v>310</v>
      </c>
      <c r="F119" s="56" t="s">
        <v>283</v>
      </c>
      <c r="G119" s="55" t="s">
        <v>284</v>
      </c>
      <c r="H119" s="57" t="n">
        <v>1332</v>
      </c>
      <c r="I119" s="54" t="n">
        <v>2016</v>
      </c>
      <c r="J119" s="54" t="n">
        <v>8</v>
      </c>
      <c r="K119" s="58" t="n">
        <v>33000</v>
      </c>
      <c r="L119" s="54" t="s">
        <v>285</v>
      </c>
      <c r="M119" s="59" t="n">
        <v>0.55</v>
      </c>
      <c r="N119" s="63" t="n">
        <v>7</v>
      </c>
      <c r="O119" s="66" t="s">
        <v>286</v>
      </c>
      <c r="P119" s="58" t="n">
        <v>1500</v>
      </c>
      <c r="Q119" s="58" t="n">
        <v>825</v>
      </c>
      <c r="R119" s="62" t="n">
        <v>0</v>
      </c>
      <c r="S119" s="58" t="n">
        <v>0</v>
      </c>
      <c r="T119" s="58" t="n">
        <v>675</v>
      </c>
      <c r="U119" s="63" t="n">
        <v>0</v>
      </c>
      <c r="V119" s="54" t="n">
        <v>2023</v>
      </c>
    </row>
    <row r="120" customFormat="false" ht="15" hidden="false" customHeight="true" outlineLevel="0" collapsed="false">
      <c r="A120" s="45" t="s">
        <v>433</v>
      </c>
      <c r="B120" s="45" t="n">
        <v>57</v>
      </c>
      <c r="C120" s="45" t="s">
        <v>288</v>
      </c>
      <c r="D120" s="46" t="s">
        <v>307</v>
      </c>
      <c r="E120" s="46" t="s">
        <v>301</v>
      </c>
      <c r="F120" s="47" t="s">
        <v>276</v>
      </c>
      <c r="G120" s="46" t="s">
        <v>343</v>
      </c>
      <c r="H120" s="48" t="n">
        <v>1300</v>
      </c>
      <c r="I120" s="45" t="n">
        <v>2019</v>
      </c>
      <c r="J120" s="45" t="n">
        <v>5</v>
      </c>
      <c r="K120" s="49" t="n">
        <v>21000</v>
      </c>
      <c r="L120" s="45" t="s">
        <v>285</v>
      </c>
      <c r="M120" s="50" t="n">
        <v>0.3</v>
      </c>
      <c r="N120" s="51" t="n">
        <v>7</v>
      </c>
      <c r="O120" s="52" t="s">
        <v>286</v>
      </c>
      <c r="P120" s="49" t="n">
        <v>900</v>
      </c>
      <c r="Q120" s="49" t="n">
        <v>270</v>
      </c>
      <c r="R120" s="53" t="n">
        <v>0</v>
      </c>
      <c r="S120" s="49" t="n">
        <v>0</v>
      </c>
      <c r="T120" s="49" t="n">
        <v>630</v>
      </c>
      <c r="U120" s="51" t="n">
        <v>0</v>
      </c>
      <c r="V120" s="45" t="n">
        <v>2024</v>
      </c>
    </row>
    <row r="121" customFormat="false" ht="15" hidden="false" customHeight="true" outlineLevel="0" collapsed="false">
      <c r="A121" s="54" t="s">
        <v>434</v>
      </c>
      <c r="B121" s="54" t="n">
        <v>53</v>
      </c>
      <c r="C121" s="54" t="s">
        <v>288</v>
      </c>
      <c r="D121" s="55" t="s">
        <v>293</v>
      </c>
      <c r="E121" s="55" t="s">
        <v>383</v>
      </c>
      <c r="F121" s="56" t="s">
        <v>276</v>
      </c>
      <c r="G121" s="55" t="s">
        <v>314</v>
      </c>
      <c r="H121" s="57" t="n">
        <v>850</v>
      </c>
      <c r="I121" s="54" t="n">
        <v>2021</v>
      </c>
      <c r="J121" s="54" t="n">
        <v>3</v>
      </c>
      <c r="K121" s="58" t="n">
        <v>21000</v>
      </c>
      <c r="L121" s="54" t="s">
        <v>285</v>
      </c>
      <c r="M121" s="59" t="n">
        <v>0.25</v>
      </c>
      <c r="N121" s="63" t="n">
        <v>7</v>
      </c>
      <c r="O121" s="66" t="s">
        <v>286</v>
      </c>
      <c r="P121" s="58" t="n">
        <v>800</v>
      </c>
      <c r="Q121" s="58" t="n">
        <v>200</v>
      </c>
      <c r="R121" s="62" t="n">
        <v>0</v>
      </c>
      <c r="S121" s="58" t="n">
        <v>0</v>
      </c>
      <c r="T121" s="58" t="n">
        <v>600</v>
      </c>
      <c r="U121" s="63" t="n">
        <v>0</v>
      </c>
      <c r="V121" s="54" t="n">
        <v>2023</v>
      </c>
    </row>
    <row r="122" customFormat="false" ht="15" hidden="false" customHeight="true" outlineLevel="0" collapsed="false">
      <c r="A122" s="45" t="s">
        <v>435</v>
      </c>
      <c r="B122" s="45" t="n">
        <v>28</v>
      </c>
      <c r="C122" s="45" t="s">
        <v>273</v>
      </c>
      <c r="D122" s="46" t="s">
        <v>281</v>
      </c>
      <c r="E122" s="46" t="s">
        <v>289</v>
      </c>
      <c r="F122" s="47" t="s">
        <v>298</v>
      </c>
      <c r="G122" s="46" t="s">
        <v>299</v>
      </c>
      <c r="H122" s="48" t="n">
        <v>1496</v>
      </c>
      <c r="I122" s="45" t="n">
        <v>2017</v>
      </c>
      <c r="J122" s="45" t="n">
        <v>7</v>
      </c>
      <c r="K122" s="49" t="n">
        <v>34000</v>
      </c>
      <c r="L122" s="45" t="s">
        <v>285</v>
      </c>
      <c r="M122" s="50" t="n">
        <v>0.25</v>
      </c>
      <c r="N122" s="64" t="n">
        <v>16</v>
      </c>
      <c r="O122" s="65" t="s">
        <v>279</v>
      </c>
      <c r="P122" s="49" t="n">
        <v>1500</v>
      </c>
      <c r="Q122" s="49" t="n">
        <v>375</v>
      </c>
      <c r="R122" s="53" t="n">
        <v>0</v>
      </c>
      <c r="S122" s="49" t="n">
        <v>0</v>
      </c>
      <c r="T122" s="49" t="n">
        <v>1125</v>
      </c>
      <c r="U122" s="51" t="n">
        <v>0</v>
      </c>
      <c r="V122" s="45" t="n">
        <v>2023</v>
      </c>
    </row>
    <row r="123" customFormat="false" ht="15" hidden="false" customHeight="true" outlineLevel="0" collapsed="false">
      <c r="A123" s="54" t="s">
        <v>436</v>
      </c>
      <c r="B123" s="54" t="n">
        <v>59</v>
      </c>
      <c r="C123" s="54" t="s">
        <v>273</v>
      </c>
      <c r="D123" s="55" t="s">
        <v>293</v>
      </c>
      <c r="E123" s="55" t="s">
        <v>322</v>
      </c>
      <c r="F123" s="56" t="s">
        <v>276</v>
      </c>
      <c r="G123" s="55" t="s">
        <v>343</v>
      </c>
      <c r="H123" s="57" t="n">
        <v>1300</v>
      </c>
      <c r="I123" s="54" t="n">
        <v>2022</v>
      </c>
      <c r="J123" s="54" t="n">
        <v>2</v>
      </c>
      <c r="K123" s="58" t="n">
        <v>36000</v>
      </c>
      <c r="L123" s="54" t="s">
        <v>285</v>
      </c>
      <c r="M123" s="59" t="n">
        <v>0.45</v>
      </c>
      <c r="N123" s="60" t="n">
        <v>14</v>
      </c>
      <c r="O123" s="61" t="s">
        <v>279</v>
      </c>
      <c r="P123" s="58" t="n">
        <v>1600</v>
      </c>
      <c r="Q123" s="58" t="n">
        <v>720</v>
      </c>
      <c r="R123" s="62" t="n">
        <v>0</v>
      </c>
      <c r="S123" s="58" t="n">
        <v>0</v>
      </c>
      <c r="T123" s="58" t="n">
        <v>880</v>
      </c>
      <c r="U123" s="63" t="n">
        <v>0</v>
      </c>
      <c r="V123" s="54" t="n">
        <v>2024</v>
      </c>
    </row>
    <row r="124" customFormat="false" ht="15" hidden="false" customHeight="true" outlineLevel="0" collapsed="false">
      <c r="A124" s="45" t="s">
        <v>437</v>
      </c>
      <c r="B124" s="45" t="n">
        <v>41</v>
      </c>
      <c r="C124" s="45" t="s">
        <v>288</v>
      </c>
      <c r="D124" s="46" t="s">
        <v>281</v>
      </c>
      <c r="E124" s="46" t="s">
        <v>301</v>
      </c>
      <c r="F124" s="47" t="s">
        <v>290</v>
      </c>
      <c r="G124" s="46" t="s">
        <v>291</v>
      </c>
      <c r="H124" s="48" t="n">
        <v>1498</v>
      </c>
      <c r="I124" s="45" t="n">
        <v>2017</v>
      </c>
      <c r="J124" s="45" t="n">
        <v>7</v>
      </c>
      <c r="K124" s="49" t="n">
        <v>58000</v>
      </c>
      <c r="L124" s="45" t="s">
        <v>285</v>
      </c>
      <c r="M124" s="50" t="n">
        <v>0.55</v>
      </c>
      <c r="N124" s="64" t="n">
        <v>11</v>
      </c>
      <c r="O124" s="65" t="s">
        <v>279</v>
      </c>
      <c r="P124" s="49" t="n">
        <v>2600</v>
      </c>
      <c r="Q124" s="49" t="n">
        <v>1430</v>
      </c>
      <c r="R124" s="53" t="n">
        <v>0</v>
      </c>
      <c r="S124" s="49" t="n">
        <v>0</v>
      </c>
      <c r="T124" s="49" t="n">
        <v>1170</v>
      </c>
      <c r="U124" s="51" t="n">
        <v>0</v>
      </c>
      <c r="V124" s="45" t="n">
        <v>2022</v>
      </c>
    </row>
    <row r="125" customFormat="false" ht="15" hidden="false" customHeight="true" outlineLevel="0" collapsed="false">
      <c r="A125" s="54" t="s">
        <v>438</v>
      </c>
      <c r="B125" s="54" t="n">
        <v>53</v>
      </c>
      <c r="C125" s="54" t="s">
        <v>273</v>
      </c>
      <c r="D125" s="55" t="s">
        <v>293</v>
      </c>
      <c r="E125" s="55" t="s">
        <v>301</v>
      </c>
      <c r="F125" s="56" t="s">
        <v>276</v>
      </c>
      <c r="G125" s="55" t="s">
        <v>314</v>
      </c>
      <c r="H125" s="57" t="n">
        <v>850</v>
      </c>
      <c r="I125" s="54" t="n">
        <v>2019</v>
      </c>
      <c r="J125" s="54" t="n">
        <v>5</v>
      </c>
      <c r="K125" s="58" t="n">
        <v>19000</v>
      </c>
      <c r="L125" s="54" t="s">
        <v>285</v>
      </c>
      <c r="M125" s="59" t="n">
        <v>0.55</v>
      </c>
      <c r="N125" s="63" t="n">
        <v>6</v>
      </c>
      <c r="O125" s="66" t="s">
        <v>286</v>
      </c>
      <c r="P125" s="58" t="n">
        <v>800</v>
      </c>
      <c r="Q125" s="58" t="n">
        <v>440</v>
      </c>
      <c r="R125" s="62" t="n">
        <v>0</v>
      </c>
      <c r="S125" s="58" t="n">
        <v>0</v>
      </c>
      <c r="T125" s="58" t="n">
        <v>360</v>
      </c>
      <c r="U125" s="63" t="n">
        <v>0</v>
      </c>
      <c r="V125" s="54" t="n">
        <v>2022</v>
      </c>
    </row>
    <row r="126" customFormat="false" ht="15" hidden="false" customHeight="true" outlineLevel="0" collapsed="false">
      <c r="A126" s="45" t="s">
        <v>439</v>
      </c>
      <c r="B126" s="45" t="n">
        <v>59</v>
      </c>
      <c r="C126" s="45" t="s">
        <v>288</v>
      </c>
      <c r="D126" s="46" t="s">
        <v>293</v>
      </c>
      <c r="E126" s="46" t="s">
        <v>336</v>
      </c>
      <c r="F126" s="47" t="s">
        <v>276</v>
      </c>
      <c r="G126" s="46" t="s">
        <v>277</v>
      </c>
      <c r="H126" s="48" t="n">
        <v>1300</v>
      </c>
      <c r="I126" s="45" t="n">
        <v>2017</v>
      </c>
      <c r="J126" s="45" t="n">
        <v>7</v>
      </c>
      <c r="K126" s="49" t="n">
        <v>23000</v>
      </c>
      <c r="L126" s="45" t="s">
        <v>285</v>
      </c>
      <c r="M126" s="50" t="n">
        <v>0.25</v>
      </c>
      <c r="N126" s="64" t="n">
        <v>15</v>
      </c>
      <c r="O126" s="65" t="s">
        <v>279</v>
      </c>
      <c r="P126" s="49" t="n">
        <v>1000</v>
      </c>
      <c r="Q126" s="49" t="n">
        <v>250</v>
      </c>
      <c r="R126" s="53" t="n">
        <v>0</v>
      </c>
      <c r="S126" s="49" t="n">
        <v>0</v>
      </c>
      <c r="T126" s="49" t="n">
        <v>750</v>
      </c>
      <c r="U126" s="51" t="n">
        <v>0</v>
      </c>
      <c r="V126" s="45" t="n">
        <v>2024</v>
      </c>
    </row>
    <row r="127" customFormat="false" ht="15" hidden="false" customHeight="true" outlineLevel="0" collapsed="false">
      <c r="A127" s="54" t="s">
        <v>440</v>
      </c>
      <c r="B127" s="54" t="n">
        <v>33</v>
      </c>
      <c r="C127" s="54" t="s">
        <v>273</v>
      </c>
      <c r="D127" s="55" t="s">
        <v>274</v>
      </c>
      <c r="E127" s="55" t="s">
        <v>310</v>
      </c>
      <c r="F127" s="56" t="s">
        <v>276</v>
      </c>
      <c r="G127" s="55" t="s">
        <v>359</v>
      </c>
      <c r="H127" s="57" t="n">
        <v>1500</v>
      </c>
      <c r="I127" s="54" t="n">
        <v>2024</v>
      </c>
      <c r="J127" s="54" t="n">
        <v>0</v>
      </c>
      <c r="K127" s="58" t="n">
        <v>49000</v>
      </c>
      <c r="L127" s="54" t="s">
        <v>285</v>
      </c>
      <c r="M127" s="59" t="n">
        <v>0.55</v>
      </c>
      <c r="N127" s="60" t="n">
        <v>14</v>
      </c>
      <c r="O127" s="61" t="s">
        <v>279</v>
      </c>
      <c r="P127" s="58" t="n">
        <v>2200</v>
      </c>
      <c r="Q127" s="58" t="n">
        <v>1210</v>
      </c>
      <c r="R127" s="62" t="n">
        <v>0</v>
      </c>
      <c r="S127" s="58" t="n">
        <v>0</v>
      </c>
      <c r="T127" s="58" t="n">
        <v>990</v>
      </c>
      <c r="U127" s="63" t="n">
        <v>0</v>
      </c>
      <c r="V127" s="54" t="n">
        <v>2023</v>
      </c>
    </row>
    <row r="128" customFormat="false" ht="15" hidden="false" customHeight="true" outlineLevel="0" collapsed="false">
      <c r="A128" s="35" t="s">
        <v>441</v>
      </c>
      <c r="B128" s="35" t="n">
        <v>25</v>
      </c>
      <c r="C128" s="35" t="s">
        <v>273</v>
      </c>
      <c r="D128" s="36" t="s">
        <v>305</v>
      </c>
      <c r="E128" s="36" t="s">
        <v>383</v>
      </c>
      <c r="F128" s="37" t="s">
        <v>276</v>
      </c>
      <c r="G128" s="36" t="s">
        <v>314</v>
      </c>
      <c r="H128" s="38" t="n">
        <v>850</v>
      </c>
      <c r="I128" s="35" t="n">
        <v>2016</v>
      </c>
      <c r="J128" s="35" t="n">
        <v>8</v>
      </c>
      <c r="K128" s="39" t="n">
        <v>16000</v>
      </c>
      <c r="L128" s="35" t="s">
        <v>285</v>
      </c>
      <c r="M128" s="40" t="n">
        <v>0.55</v>
      </c>
      <c r="N128" s="44" t="n">
        <v>17</v>
      </c>
      <c r="O128" s="42" t="s">
        <v>318</v>
      </c>
      <c r="P128" s="39" t="n">
        <v>800</v>
      </c>
      <c r="Q128" s="39" t="n">
        <v>440</v>
      </c>
      <c r="R128" s="43" t="n">
        <v>0</v>
      </c>
      <c r="S128" s="39" t="n">
        <v>0</v>
      </c>
      <c r="T128" s="39" t="n">
        <v>360</v>
      </c>
      <c r="U128" s="44" t="n">
        <v>1</v>
      </c>
      <c r="V128" s="35" t="n">
        <v>2023</v>
      </c>
    </row>
    <row r="129" customFormat="false" ht="15" hidden="false" customHeight="true" outlineLevel="0" collapsed="false">
      <c r="A129" s="54" t="s">
        <v>442</v>
      </c>
      <c r="B129" s="54" t="n">
        <v>30</v>
      </c>
      <c r="C129" s="54" t="s">
        <v>273</v>
      </c>
      <c r="D129" s="55" t="s">
        <v>281</v>
      </c>
      <c r="E129" s="55" t="s">
        <v>301</v>
      </c>
      <c r="F129" s="56" t="s">
        <v>276</v>
      </c>
      <c r="G129" s="55" t="s">
        <v>314</v>
      </c>
      <c r="H129" s="57" t="n">
        <v>850</v>
      </c>
      <c r="I129" s="54" t="n">
        <v>2019</v>
      </c>
      <c r="J129" s="54" t="n">
        <v>5</v>
      </c>
      <c r="K129" s="58" t="n">
        <v>12000</v>
      </c>
      <c r="L129" s="54" t="s">
        <v>285</v>
      </c>
      <c r="M129" s="59" t="n">
        <v>0.55</v>
      </c>
      <c r="N129" s="60" t="n">
        <v>14</v>
      </c>
      <c r="O129" s="61" t="s">
        <v>279</v>
      </c>
      <c r="P129" s="58" t="n">
        <v>800</v>
      </c>
      <c r="Q129" s="58" t="n">
        <v>440</v>
      </c>
      <c r="R129" s="62" t="n">
        <v>0</v>
      </c>
      <c r="S129" s="58" t="n">
        <v>0</v>
      </c>
      <c r="T129" s="58" t="n">
        <v>360</v>
      </c>
      <c r="U129" s="63" t="n">
        <v>0</v>
      </c>
      <c r="V129" s="54" t="n">
        <v>2023</v>
      </c>
    </row>
    <row r="130" customFormat="false" ht="15" hidden="false" customHeight="true" outlineLevel="0" collapsed="false">
      <c r="A130" s="45" t="s">
        <v>443</v>
      </c>
      <c r="B130" s="45" t="n">
        <v>37</v>
      </c>
      <c r="C130" s="45" t="s">
        <v>288</v>
      </c>
      <c r="D130" s="46" t="s">
        <v>307</v>
      </c>
      <c r="E130" s="46" t="s">
        <v>294</v>
      </c>
      <c r="F130" s="47" t="s">
        <v>283</v>
      </c>
      <c r="G130" s="46" t="s">
        <v>338</v>
      </c>
      <c r="H130" s="48" t="n">
        <v>1600</v>
      </c>
      <c r="I130" s="45" t="n">
        <v>2015</v>
      </c>
      <c r="J130" s="45" t="n">
        <v>9</v>
      </c>
      <c r="K130" s="49" t="n">
        <v>31000</v>
      </c>
      <c r="L130" s="45" t="s">
        <v>285</v>
      </c>
      <c r="M130" s="50" t="n">
        <v>0.45</v>
      </c>
      <c r="N130" s="64" t="n">
        <v>13</v>
      </c>
      <c r="O130" s="65" t="s">
        <v>279</v>
      </c>
      <c r="P130" s="49" t="n">
        <v>1600</v>
      </c>
      <c r="Q130" s="49" t="n">
        <v>720</v>
      </c>
      <c r="R130" s="53" t="n">
        <v>0</v>
      </c>
      <c r="S130" s="49" t="n">
        <v>0</v>
      </c>
      <c r="T130" s="49" t="n">
        <v>880</v>
      </c>
      <c r="U130" s="51" t="n">
        <v>0</v>
      </c>
      <c r="V130" s="45" t="n">
        <v>2023</v>
      </c>
    </row>
    <row r="131" customFormat="false" ht="15" hidden="false" customHeight="true" outlineLevel="0" collapsed="false">
      <c r="A131" s="54" t="s">
        <v>444</v>
      </c>
      <c r="B131" s="54" t="n">
        <v>54</v>
      </c>
      <c r="C131" s="54" t="s">
        <v>273</v>
      </c>
      <c r="D131" s="55" t="s">
        <v>330</v>
      </c>
      <c r="E131" s="55" t="s">
        <v>301</v>
      </c>
      <c r="F131" s="56" t="s">
        <v>298</v>
      </c>
      <c r="G131" s="55" t="s">
        <v>323</v>
      </c>
      <c r="H131" s="57" t="n">
        <v>2494</v>
      </c>
      <c r="I131" s="54" t="n">
        <v>2020</v>
      </c>
      <c r="J131" s="54" t="n">
        <v>4</v>
      </c>
      <c r="K131" s="58" t="n">
        <v>162000</v>
      </c>
      <c r="L131" s="54" t="s">
        <v>285</v>
      </c>
      <c r="M131" s="59" t="n">
        <v>0.45</v>
      </c>
      <c r="N131" s="63" t="n">
        <v>7</v>
      </c>
      <c r="O131" s="66" t="s">
        <v>286</v>
      </c>
      <c r="P131" s="58" t="n">
        <v>8900</v>
      </c>
      <c r="Q131" s="58" t="n">
        <v>4005</v>
      </c>
      <c r="R131" s="62" t="n">
        <v>0</v>
      </c>
      <c r="S131" s="58" t="n">
        <v>0</v>
      </c>
      <c r="T131" s="58" t="n">
        <v>4895</v>
      </c>
      <c r="U131" s="63" t="n">
        <v>0</v>
      </c>
      <c r="V131" s="54" t="n">
        <v>2023</v>
      </c>
    </row>
    <row r="132" customFormat="false" ht="15" hidden="false" customHeight="true" outlineLevel="0" collapsed="false">
      <c r="A132" s="45" t="s">
        <v>445</v>
      </c>
      <c r="B132" s="45" t="n">
        <v>56</v>
      </c>
      <c r="C132" s="45" t="s">
        <v>288</v>
      </c>
      <c r="D132" s="46" t="s">
        <v>293</v>
      </c>
      <c r="E132" s="46" t="s">
        <v>282</v>
      </c>
      <c r="F132" s="47" t="s">
        <v>276</v>
      </c>
      <c r="G132" s="46" t="s">
        <v>277</v>
      </c>
      <c r="H132" s="48" t="n">
        <v>1300</v>
      </c>
      <c r="I132" s="45" t="n">
        <v>2019</v>
      </c>
      <c r="J132" s="45" t="n">
        <v>5</v>
      </c>
      <c r="K132" s="49" t="n">
        <v>27000</v>
      </c>
      <c r="L132" s="45" t="s">
        <v>285</v>
      </c>
      <c r="M132" s="50" t="n">
        <v>0.45</v>
      </c>
      <c r="N132" s="51" t="n">
        <v>6</v>
      </c>
      <c r="O132" s="52" t="s">
        <v>286</v>
      </c>
      <c r="P132" s="49" t="n">
        <v>1200</v>
      </c>
      <c r="Q132" s="49" t="n">
        <v>540</v>
      </c>
      <c r="R132" s="53" t="n">
        <v>0</v>
      </c>
      <c r="S132" s="49" t="n">
        <v>0</v>
      </c>
      <c r="T132" s="49" t="n">
        <v>660</v>
      </c>
      <c r="U132" s="51" t="n">
        <v>0</v>
      </c>
      <c r="V132" s="45" t="n">
        <v>2024</v>
      </c>
    </row>
    <row r="133" customFormat="false" ht="15" hidden="false" customHeight="true" outlineLevel="0" collapsed="false">
      <c r="A133" s="54" t="s">
        <v>446</v>
      </c>
      <c r="B133" s="54" t="n">
        <v>19</v>
      </c>
      <c r="C133" s="54" t="s">
        <v>273</v>
      </c>
      <c r="D133" s="55" t="s">
        <v>274</v>
      </c>
      <c r="E133" s="55" t="s">
        <v>289</v>
      </c>
      <c r="F133" s="56" t="s">
        <v>283</v>
      </c>
      <c r="G133" s="55" t="s">
        <v>349</v>
      </c>
      <c r="H133" s="57" t="n">
        <v>1498</v>
      </c>
      <c r="I133" s="54" t="n">
        <v>2019</v>
      </c>
      <c r="J133" s="54" t="n">
        <v>5</v>
      </c>
      <c r="K133" s="58" t="n">
        <v>35000</v>
      </c>
      <c r="L133" s="54" t="s">
        <v>285</v>
      </c>
      <c r="M133" s="59" t="n">
        <v>0.55</v>
      </c>
      <c r="N133" s="69" t="n">
        <v>18</v>
      </c>
      <c r="O133" s="61" t="s">
        <v>318</v>
      </c>
      <c r="P133" s="58" t="n">
        <v>1500</v>
      </c>
      <c r="Q133" s="58" t="n">
        <v>825</v>
      </c>
      <c r="R133" s="62" t="n">
        <v>0</v>
      </c>
      <c r="S133" s="58" t="n">
        <v>0</v>
      </c>
      <c r="T133" s="58" t="n">
        <v>675</v>
      </c>
      <c r="U133" s="63" t="n">
        <v>0</v>
      </c>
      <c r="V133" s="54" t="n">
        <v>2023</v>
      </c>
    </row>
    <row r="134" customFormat="false" ht="15" hidden="false" customHeight="true" outlineLevel="0" collapsed="false">
      <c r="A134" s="45" t="s">
        <v>447</v>
      </c>
      <c r="B134" s="45" t="n">
        <v>40</v>
      </c>
      <c r="C134" s="45" t="s">
        <v>273</v>
      </c>
      <c r="D134" s="46" t="s">
        <v>307</v>
      </c>
      <c r="E134" s="46" t="s">
        <v>289</v>
      </c>
      <c r="F134" s="47" t="s">
        <v>276</v>
      </c>
      <c r="G134" s="46" t="s">
        <v>277</v>
      </c>
      <c r="H134" s="48" t="n">
        <v>1300</v>
      </c>
      <c r="I134" s="45" t="n">
        <v>2021</v>
      </c>
      <c r="J134" s="45" t="n">
        <v>3</v>
      </c>
      <c r="K134" s="49" t="n">
        <v>21000</v>
      </c>
      <c r="L134" s="45" t="s">
        <v>285</v>
      </c>
      <c r="M134" s="50" t="n">
        <v>0</v>
      </c>
      <c r="N134" s="64" t="n">
        <v>13</v>
      </c>
      <c r="O134" s="65" t="s">
        <v>279</v>
      </c>
      <c r="P134" s="49" t="n">
        <v>900</v>
      </c>
      <c r="Q134" s="49" t="n">
        <v>0</v>
      </c>
      <c r="R134" s="53" t="n">
        <v>0</v>
      </c>
      <c r="S134" s="49" t="n">
        <v>0</v>
      </c>
      <c r="T134" s="49" t="n">
        <v>900</v>
      </c>
      <c r="U134" s="51" t="n">
        <v>0</v>
      </c>
      <c r="V134" s="45" t="n">
        <v>2023</v>
      </c>
    </row>
    <row r="135" customFormat="false" ht="15" hidden="false" customHeight="true" outlineLevel="0" collapsed="false">
      <c r="A135" s="54" t="s">
        <v>448</v>
      </c>
      <c r="B135" s="54" t="n">
        <v>37</v>
      </c>
      <c r="C135" s="54" t="s">
        <v>273</v>
      </c>
      <c r="D135" s="55" t="s">
        <v>307</v>
      </c>
      <c r="E135" s="55" t="s">
        <v>312</v>
      </c>
      <c r="F135" s="56" t="s">
        <v>283</v>
      </c>
      <c r="G135" s="55" t="s">
        <v>338</v>
      </c>
      <c r="H135" s="57" t="n">
        <v>1600</v>
      </c>
      <c r="I135" s="54" t="n">
        <v>2023</v>
      </c>
      <c r="J135" s="54" t="n">
        <v>1</v>
      </c>
      <c r="K135" s="58" t="n">
        <v>20000</v>
      </c>
      <c r="L135" s="54" t="s">
        <v>285</v>
      </c>
      <c r="M135" s="59" t="n">
        <v>0.3833</v>
      </c>
      <c r="N135" s="63" t="n">
        <v>6</v>
      </c>
      <c r="O135" s="66" t="s">
        <v>286</v>
      </c>
      <c r="P135" s="58" t="n">
        <v>1000</v>
      </c>
      <c r="Q135" s="58" t="n">
        <v>383</v>
      </c>
      <c r="R135" s="62" t="n">
        <v>0</v>
      </c>
      <c r="S135" s="58" t="n">
        <v>0</v>
      </c>
      <c r="T135" s="58" t="n">
        <v>617</v>
      </c>
      <c r="U135" s="63" t="n">
        <v>0</v>
      </c>
      <c r="V135" s="54" t="n">
        <v>2022</v>
      </c>
    </row>
    <row r="136" customFormat="false" ht="15" hidden="false" customHeight="true" outlineLevel="0" collapsed="false">
      <c r="A136" s="45" t="s">
        <v>449</v>
      </c>
      <c r="B136" s="45" t="n">
        <v>30</v>
      </c>
      <c r="C136" s="45" t="s">
        <v>273</v>
      </c>
      <c r="D136" s="46" t="s">
        <v>281</v>
      </c>
      <c r="E136" s="46" t="s">
        <v>310</v>
      </c>
      <c r="F136" s="47" t="s">
        <v>276</v>
      </c>
      <c r="G136" s="46" t="s">
        <v>277</v>
      </c>
      <c r="H136" s="48" t="n">
        <v>1300</v>
      </c>
      <c r="I136" s="45" t="n">
        <v>2017</v>
      </c>
      <c r="J136" s="45" t="n">
        <v>7</v>
      </c>
      <c r="K136" s="49" t="n">
        <v>21000</v>
      </c>
      <c r="L136" s="45" t="s">
        <v>285</v>
      </c>
      <c r="M136" s="50" t="n">
        <v>0.55</v>
      </c>
      <c r="N136" s="64" t="n">
        <v>14</v>
      </c>
      <c r="O136" s="65" t="s">
        <v>279</v>
      </c>
      <c r="P136" s="49" t="n">
        <v>900</v>
      </c>
      <c r="Q136" s="49" t="n">
        <v>495</v>
      </c>
      <c r="R136" s="53" t="n">
        <v>0</v>
      </c>
      <c r="S136" s="49" t="n">
        <v>0</v>
      </c>
      <c r="T136" s="49" t="n">
        <v>405</v>
      </c>
      <c r="U136" s="51" t="n">
        <v>0</v>
      </c>
      <c r="V136" s="45" t="n">
        <v>2024</v>
      </c>
    </row>
    <row r="137" customFormat="false" ht="15" hidden="false" customHeight="true" outlineLevel="0" collapsed="false">
      <c r="A137" s="54" t="s">
        <v>450</v>
      </c>
      <c r="B137" s="54" t="n">
        <v>26</v>
      </c>
      <c r="C137" s="54" t="s">
        <v>288</v>
      </c>
      <c r="D137" s="55" t="s">
        <v>274</v>
      </c>
      <c r="E137" s="55" t="s">
        <v>275</v>
      </c>
      <c r="F137" s="56" t="s">
        <v>298</v>
      </c>
      <c r="G137" s="55" t="s">
        <v>299</v>
      </c>
      <c r="H137" s="57" t="n">
        <v>1496</v>
      </c>
      <c r="I137" s="54" t="n">
        <v>2017</v>
      </c>
      <c r="J137" s="54" t="n">
        <v>7</v>
      </c>
      <c r="K137" s="58" t="n">
        <v>56000</v>
      </c>
      <c r="L137" s="54" t="s">
        <v>285</v>
      </c>
      <c r="M137" s="59" t="n">
        <v>0.25</v>
      </c>
      <c r="N137" s="69" t="n">
        <v>17</v>
      </c>
      <c r="O137" s="61" t="s">
        <v>318</v>
      </c>
      <c r="P137" s="58" t="n">
        <v>2500</v>
      </c>
      <c r="Q137" s="58" t="n">
        <v>625</v>
      </c>
      <c r="R137" s="62" t="n">
        <v>0</v>
      </c>
      <c r="S137" s="58" t="n">
        <v>0</v>
      </c>
      <c r="T137" s="58" t="n">
        <v>1875</v>
      </c>
      <c r="U137" s="63" t="n">
        <v>0</v>
      </c>
      <c r="V137" s="54" t="n">
        <v>2022</v>
      </c>
    </row>
    <row r="138" customFormat="false" ht="15" hidden="false" customHeight="true" outlineLevel="0" collapsed="false">
      <c r="A138" s="45" t="s">
        <v>451</v>
      </c>
      <c r="B138" s="45" t="n">
        <v>34</v>
      </c>
      <c r="C138" s="45" t="s">
        <v>288</v>
      </c>
      <c r="D138" s="46" t="s">
        <v>274</v>
      </c>
      <c r="E138" s="46" t="s">
        <v>275</v>
      </c>
      <c r="F138" s="47" t="s">
        <v>283</v>
      </c>
      <c r="G138" s="46" t="s">
        <v>338</v>
      </c>
      <c r="H138" s="48" t="n">
        <v>1600</v>
      </c>
      <c r="I138" s="45" t="n">
        <v>2022</v>
      </c>
      <c r="J138" s="45" t="n">
        <v>2</v>
      </c>
      <c r="K138" s="49" t="n">
        <v>36000</v>
      </c>
      <c r="L138" s="45" t="s">
        <v>285</v>
      </c>
      <c r="M138" s="50" t="n">
        <v>0.55</v>
      </c>
      <c r="N138" s="64" t="n">
        <v>9</v>
      </c>
      <c r="O138" s="65" t="s">
        <v>279</v>
      </c>
      <c r="P138" s="49" t="n">
        <v>1800</v>
      </c>
      <c r="Q138" s="49" t="n">
        <v>990</v>
      </c>
      <c r="R138" s="53" t="n">
        <v>0</v>
      </c>
      <c r="S138" s="49" t="n">
        <v>0</v>
      </c>
      <c r="T138" s="49" t="n">
        <v>810</v>
      </c>
      <c r="U138" s="51" t="n">
        <v>0</v>
      </c>
      <c r="V138" s="45" t="n">
        <v>2023</v>
      </c>
    </row>
    <row r="139" customFormat="false" ht="15" hidden="false" customHeight="true" outlineLevel="0" collapsed="false">
      <c r="A139" s="54" t="s">
        <v>452</v>
      </c>
      <c r="B139" s="54" t="n">
        <v>63</v>
      </c>
      <c r="C139" s="54" t="s">
        <v>288</v>
      </c>
      <c r="D139" s="55" t="s">
        <v>305</v>
      </c>
      <c r="E139" s="55" t="s">
        <v>275</v>
      </c>
      <c r="F139" s="56" t="s">
        <v>283</v>
      </c>
      <c r="G139" s="55" t="s">
        <v>349</v>
      </c>
      <c r="H139" s="57" t="n">
        <v>1498</v>
      </c>
      <c r="I139" s="54" t="n">
        <v>2024</v>
      </c>
      <c r="J139" s="54" t="n">
        <v>0</v>
      </c>
      <c r="K139" s="58" t="n">
        <v>64000</v>
      </c>
      <c r="L139" s="54" t="s">
        <v>285</v>
      </c>
      <c r="M139" s="59" t="n">
        <v>0.3</v>
      </c>
      <c r="N139" s="60" t="n">
        <v>12</v>
      </c>
      <c r="O139" s="61" t="s">
        <v>279</v>
      </c>
      <c r="P139" s="58" t="n">
        <v>2800</v>
      </c>
      <c r="Q139" s="58" t="n">
        <v>840</v>
      </c>
      <c r="R139" s="62" t="n">
        <v>0</v>
      </c>
      <c r="S139" s="58" t="n">
        <v>0</v>
      </c>
      <c r="T139" s="58" t="n">
        <v>1960</v>
      </c>
      <c r="U139" s="63" t="n">
        <v>0</v>
      </c>
      <c r="V139" s="54" t="n">
        <v>2023</v>
      </c>
    </row>
    <row r="140" customFormat="false" ht="15" hidden="false" customHeight="true" outlineLevel="0" collapsed="false">
      <c r="A140" s="45" t="s">
        <v>453</v>
      </c>
      <c r="B140" s="45" t="n">
        <v>33</v>
      </c>
      <c r="C140" s="45" t="s">
        <v>273</v>
      </c>
      <c r="D140" s="46" t="s">
        <v>309</v>
      </c>
      <c r="E140" s="46" t="s">
        <v>310</v>
      </c>
      <c r="F140" s="47" t="s">
        <v>276</v>
      </c>
      <c r="G140" s="46" t="s">
        <v>314</v>
      </c>
      <c r="H140" s="48" t="n">
        <v>850</v>
      </c>
      <c r="I140" s="45" t="n">
        <v>2019</v>
      </c>
      <c r="J140" s="45" t="n">
        <v>5</v>
      </c>
      <c r="K140" s="49" t="n">
        <v>12000</v>
      </c>
      <c r="L140" s="45" t="s">
        <v>285</v>
      </c>
      <c r="M140" s="50" t="n">
        <v>0.3833</v>
      </c>
      <c r="N140" s="51" t="n">
        <v>6</v>
      </c>
      <c r="O140" s="52" t="s">
        <v>286</v>
      </c>
      <c r="P140" s="49" t="n">
        <v>800</v>
      </c>
      <c r="Q140" s="49" t="n">
        <v>307</v>
      </c>
      <c r="R140" s="53" t="n">
        <v>0</v>
      </c>
      <c r="S140" s="49" t="n">
        <v>0</v>
      </c>
      <c r="T140" s="49" t="n">
        <v>493</v>
      </c>
      <c r="U140" s="51" t="n">
        <v>0</v>
      </c>
      <c r="V140" s="45" t="n">
        <v>2023</v>
      </c>
    </row>
    <row r="141" customFormat="false" ht="15" hidden="false" customHeight="true" outlineLevel="0" collapsed="false">
      <c r="A141" s="54" t="s">
        <v>454</v>
      </c>
      <c r="B141" s="54" t="n">
        <v>40</v>
      </c>
      <c r="C141" s="54" t="s">
        <v>273</v>
      </c>
      <c r="D141" s="55" t="s">
        <v>281</v>
      </c>
      <c r="E141" s="55" t="s">
        <v>310</v>
      </c>
      <c r="F141" s="56" t="s">
        <v>276</v>
      </c>
      <c r="G141" s="55" t="s">
        <v>277</v>
      </c>
      <c r="H141" s="57" t="n">
        <v>1300</v>
      </c>
      <c r="I141" s="54" t="n">
        <v>2023</v>
      </c>
      <c r="J141" s="54" t="n">
        <v>1</v>
      </c>
      <c r="K141" s="58" t="n">
        <v>21000</v>
      </c>
      <c r="L141" s="54" t="s">
        <v>285</v>
      </c>
      <c r="M141" s="59" t="n">
        <v>0.55</v>
      </c>
      <c r="N141" s="63" t="n">
        <v>8</v>
      </c>
      <c r="O141" s="66" t="s">
        <v>286</v>
      </c>
      <c r="P141" s="58" t="n">
        <v>900</v>
      </c>
      <c r="Q141" s="58" t="n">
        <v>495</v>
      </c>
      <c r="R141" s="62" t="n">
        <v>0</v>
      </c>
      <c r="S141" s="58" t="n">
        <v>0</v>
      </c>
      <c r="T141" s="58" t="n">
        <v>405</v>
      </c>
      <c r="U141" s="63" t="n">
        <v>0</v>
      </c>
      <c r="V141" s="54" t="n">
        <v>2023</v>
      </c>
    </row>
    <row r="142" customFormat="false" ht="15" hidden="false" customHeight="true" outlineLevel="0" collapsed="false">
      <c r="A142" s="45" t="s">
        <v>455</v>
      </c>
      <c r="B142" s="45" t="n">
        <v>48</v>
      </c>
      <c r="C142" s="45" t="s">
        <v>273</v>
      </c>
      <c r="D142" s="46" t="s">
        <v>293</v>
      </c>
      <c r="E142" s="46" t="s">
        <v>275</v>
      </c>
      <c r="F142" s="47" t="s">
        <v>276</v>
      </c>
      <c r="G142" s="46" t="s">
        <v>277</v>
      </c>
      <c r="H142" s="48" t="n">
        <v>1300</v>
      </c>
      <c r="I142" s="45" t="n">
        <v>2021</v>
      </c>
      <c r="J142" s="45" t="n">
        <v>3</v>
      </c>
      <c r="K142" s="49" t="n">
        <v>41000</v>
      </c>
      <c r="L142" s="45" t="s">
        <v>285</v>
      </c>
      <c r="M142" s="50" t="n">
        <v>0</v>
      </c>
      <c r="N142" s="51" t="n">
        <v>6</v>
      </c>
      <c r="O142" s="52" t="s">
        <v>286</v>
      </c>
      <c r="P142" s="49" t="n">
        <v>1800</v>
      </c>
      <c r="Q142" s="49" t="n">
        <v>0</v>
      </c>
      <c r="R142" s="53" t="n">
        <v>0</v>
      </c>
      <c r="S142" s="49" t="n">
        <v>0</v>
      </c>
      <c r="T142" s="49" t="n">
        <v>1800</v>
      </c>
      <c r="U142" s="51" t="n">
        <v>0</v>
      </c>
      <c r="V142" s="45" t="n">
        <v>2024</v>
      </c>
    </row>
    <row r="143" customFormat="false" ht="15" hidden="false" customHeight="true" outlineLevel="0" collapsed="false">
      <c r="A143" s="54" t="s">
        <v>456</v>
      </c>
      <c r="B143" s="54" t="n">
        <v>35</v>
      </c>
      <c r="C143" s="54" t="s">
        <v>273</v>
      </c>
      <c r="D143" s="55" t="s">
        <v>309</v>
      </c>
      <c r="E143" s="55" t="s">
        <v>289</v>
      </c>
      <c r="F143" s="56" t="s">
        <v>276</v>
      </c>
      <c r="G143" s="55" t="s">
        <v>277</v>
      </c>
      <c r="H143" s="57" t="n">
        <v>1300</v>
      </c>
      <c r="I143" s="54" t="n">
        <v>2022</v>
      </c>
      <c r="J143" s="54" t="n">
        <v>2</v>
      </c>
      <c r="K143" s="58" t="n">
        <v>34000</v>
      </c>
      <c r="L143" s="54" t="s">
        <v>285</v>
      </c>
      <c r="M143" s="59" t="n">
        <v>0.45</v>
      </c>
      <c r="N143" s="60" t="n">
        <v>12</v>
      </c>
      <c r="O143" s="61" t="s">
        <v>279</v>
      </c>
      <c r="P143" s="58" t="n">
        <v>1500</v>
      </c>
      <c r="Q143" s="58" t="n">
        <v>675</v>
      </c>
      <c r="R143" s="62" t="n">
        <v>0</v>
      </c>
      <c r="S143" s="58" t="n">
        <v>0</v>
      </c>
      <c r="T143" s="58" t="n">
        <v>825</v>
      </c>
      <c r="U143" s="63" t="n">
        <v>0</v>
      </c>
      <c r="V143" s="54" t="n">
        <v>2022</v>
      </c>
    </row>
    <row r="144" customFormat="false" ht="15" hidden="false" customHeight="true" outlineLevel="0" collapsed="false">
      <c r="A144" s="45" t="s">
        <v>457</v>
      </c>
      <c r="B144" s="45" t="n">
        <v>66</v>
      </c>
      <c r="C144" s="45" t="s">
        <v>273</v>
      </c>
      <c r="D144" s="46" t="s">
        <v>281</v>
      </c>
      <c r="E144" s="46" t="s">
        <v>312</v>
      </c>
      <c r="F144" s="47" t="s">
        <v>283</v>
      </c>
      <c r="G144" s="46" t="s">
        <v>284</v>
      </c>
      <c r="H144" s="48" t="n">
        <v>1332</v>
      </c>
      <c r="I144" s="45" t="n">
        <v>2024</v>
      </c>
      <c r="J144" s="45" t="n">
        <v>0</v>
      </c>
      <c r="K144" s="49" t="n">
        <v>25000</v>
      </c>
      <c r="L144" s="45" t="s">
        <v>285</v>
      </c>
      <c r="M144" s="50" t="n">
        <v>0.3</v>
      </c>
      <c r="N144" s="64" t="n">
        <v>10</v>
      </c>
      <c r="O144" s="65" t="s">
        <v>279</v>
      </c>
      <c r="P144" s="49" t="n">
        <v>1100</v>
      </c>
      <c r="Q144" s="49" t="n">
        <v>330</v>
      </c>
      <c r="R144" s="53" t="n">
        <v>0</v>
      </c>
      <c r="S144" s="49" t="n">
        <v>0</v>
      </c>
      <c r="T144" s="49" t="n">
        <v>770</v>
      </c>
      <c r="U144" s="51" t="n">
        <v>0</v>
      </c>
      <c r="V144" s="45" t="n">
        <v>2022</v>
      </c>
    </row>
    <row r="145" customFormat="false" ht="15" hidden="false" customHeight="true" outlineLevel="0" collapsed="false">
      <c r="A145" s="54" t="s">
        <v>458</v>
      </c>
      <c r="B145" s="54" t="n">
        <v>65</v>
      </c>
      <c r="C145" s="54" t="s">
        <v>288</v>
      </c>
      <c r="D145" s="55" t="s">
        <v>307</v>
      </c>
      <c r="E145" s="55" t="s">
        <v>383</v>
      </c>
      <c r="F145" s="56" t="s">
        <v>276</v>
      </c>
      <c r="G145" s="55" t="s">
        <v>314</v>
      </c>
      <c r="H145" s="57" t="n">
        <v>850</v>
      </c>
      <c r="I145" s="54" t="n">
        <v>2022</v>
      </c>
      <c r="J145" s="54" t="n">
        <v>2</v>
      </c>
      <c r="K145" s="58" t="n">
        <v>17000</v>
      </c>
      <c r="L145" s="54" t="s">
        <v>285</v>
      </c>
      <c r="M145" s="59" t="n">
        <v>0.3833</v>
      </c>
      <c r="N145" s="63" t="n">
        <v>8</v>
      </c>
      <c r="O145" s="66" t="s">
        <v>286</v>
      </c>
      <c r="P145" s="58" t="n">
        <v>800</v>
      </c>
      <c r="Q145" s="58" t="n">
        <v>307</v>
      </c>
      <c r="R145" s="62" t="n">
        <v>0</v>
      </c>
      <c r="S145" s="58" t="n">
        <v>0</v>
      </c>
      <c r="T145" s="58" t="n">
        <v>493</v>
      </c>
      <c r="U145" s="63" t="n">
        <v>0</v>
      </c>
      <c r="V145" s="54" t="n">
        <v>2023</v>
      </c>
    </row>
    <row r="146" customFormat="false" ht="15" hidden="false" customHeight="true" outlineLevel="0" collapsed="false">
      <c r="A146" s="45" t="s">
        <v>459</v>
      </c>
      <c r="B146" s="45" t="n">
        <v>31</v>
      </c>
      <c r="C146" s="45" t="s">
        <v>288</v>
      </c>
      <c r="D146" s="46" t="s">
        <v>274</v>
      </c>
      <c r="E146" s="46" t="s">
        <v>275</v>
      </c>
      <c r="F146" s="47" t="s">
        <v>283</v>
      </c>
      <c r="G146" s="46" t="s">
        <v>284</v>
      </c>
      <c r="H146" s="48" t="n">
        <v>1332</v>
      </c>
      <c r="I146" s="45" t="n">
        <v>2017</v>
      </c>
      <c r="J146" s="45" t="n">
        <v>7</v>
      </c>
      <c r="K146" s="49" t="n">
        <v>28000</v>
      </c>
      <c r="L146" s="45" t="s">
        <v>285</v>
      </c>
      <c r="M146" s="50" t="n">
        <v>0.55</v>
      </c>
      <c r="N146" s="51" t="n">
        <v>7</v>
      </c>
      <c r="O146" s="52" t="s">
        <v>286</v>
      </c>
      <c r="P146" s="49" t="n">
        <v>1200</v>
      </c>
      <c r="Q146" s="49" t="n">
        <v>660</v>
      </c>
      <c r="R146" s="53" t="n">
        <v>0</v>
      </c>
      <c r="S146" s="49" t="n">
        <v>0</v>
      </c>
      <c r="T146" s="49" t="n">
        <v>540</v>
      </c>
      <c r="U146" s="51" t="n">
        <v>0</v>
      </c>
      <c r="V146" s="45" t="n">
        <v>2023</v>
      </c>
    </row>
    <row r="147" customFormat="false" ht="15" hidden="false" customHeight="true" outlineLevel="0" collapsed="false">
      <c r="A147" s="54" t="s">
        <v>460</v>
      </c>
      <c r="B147" s="54" t="n">
        <v>39</v>
      </c>
      <c r="C147" s="54" t="s">
        <v>288</v>
      </c>
      <c r="D147" s="55" t="s">
        <v>309</v>
      </c>
      <c r="E147" s="55" t="s">
        <v>282</v>
      </c>
      <c r="F147" s="56" t="s">
        <v>276</v>
      </c>
      <c r="G147" s="55" t="s">
        <v>314</v>
      </c>
      <c r="H147" s="57" t="n">
        <v>850</v>
      </c>
      <c r="I147" s="54" t="n">
        <v>2022</v>
      </c>
      <c r="J147" s="54" t="n">
        <v>2</v>
      </c>
      <c r="K147" s="58" t="n">
        <v>12000</v>
      </c>
      <c r="L147" s="54" t="s">
        <v>285</v>
      </c>
      <c r="M147" s="59" t="n">
        <v>0.3833</v>
      </c>
      <c r="N147" s="63" t="n">
        <v>4</v>
      </c>
      <c r="O147" s="66" t="s">
        <v>286</v>
      </c>
      <c r="P147" s="58" t="n">
        <v>800</v>
      </c>
      <c r="Q147" s="58" t="n">
        <v>307</v>
      </c>
      <c r="R147" s="62" t="n">
        <v>0</v>
      </c>
      <c r="S147" s="58" t="n">
        <v>0</v>
      </c>
      <c r="T147" s="58" t="n">
        <v>493</v>
      </c>
      <c r="U147" s="63" t="n">
        <v>0</v>
      </c>
      <c r="V147" s="54" t="n">
        <v>2022</v>
      </c>
    </row>
    <row r="148" customFormat="false" ht="15" hidden="false" customHeight="true" outlineLevel="0" collapsed="false">
      <c r="A148" s="45" t="s">
        <v>461</v>
      </c>
      <c r="B148" s="45" t="n">
        <v>32</v>
      </c>
      <c r="C148" s="45" t="s">
        <v>273</v>
      </c>
      <c r="D148" s="46" t="s">
        <v>281</v>
      </c>
      <c r="E148" s="46" t="s">
        <v>383</v>
      </c>
      <c r="F148" s="47" t="s">
        <v>276</v>
      </c>
      <c r="G148" s="46" t="s">
        <v>314</v>
      </c>
      <c r="H148" s="48" t="n">
        <v>850</v>
      </c>
      <c r="I148" s="45" t="n">
        <v>2024</v>
      </c>
      <c r="J148" s="45" t="n">
        <v>0</v>
      </c>
      <c r="K148" s="49" t="n">
        <v>19000</v>
      </c>
      <c r="L148" s="45" t="s">
        <v>285</v>
      </c>
      <c r="M148" s="50" t="n">
        <v>0</v>
      </c>
      <c r="N148" s="64" t="n">
        <v>12</v>
      </c>
      <c r="O148" s="65" t="s">
        <v>279</v>
      </c>
      <c r="P148" s="49" t="n">
        <v>800</v>
      </c>
      <c r="Q148" s="49" t="n">
        <v>0</v>
      </c>
      <c r="R148" s="53" t="n">
        <v>0</v>
      </c>
      <c r="S148" s="49" t="n">
        <v>0</v>
      </c>
      <c r="T148" s="49" t="n">
        <v>800</v>
      </c>
      <c r="U148" s="51" t="n">
        <v>0</v>
      </c>
      <c r="V148" s="45" t="n">
        <v>2024</v>
      </c>
    </row>
    <row r="149" customFormat="false" ht="15" hidden="false" customHeight="true" outlineLevel="0" collapsed="false">
      <c r="A149" s="35" t="s">
        <v>462</v>
      </c>
      <c r="B149" s="35" t="n">
        <v>32</v>
      </c>
      <c r="C149" s="35" t="s">
        <v>273</v>
      </c>
      <c r="D149" s="36" t="s">
        <v>309</v>
      </c>
      <c r="E149" s="36" t="s">
        <v>383</v>
      </c>
      <c r="F149" s="37" t="s">
        <v>361</v>
      </c>
      <c r="G149" s="36" t="s">
        <v>362</v>
      </c>
      <c r="H149" s="38" t="n">
        <v>1591</v>
      </c>
      <c r="I149" s="35" t="n">
        <v>2022</v>
      </c>
      <c r="J149" s="35" t="n">
        <v>2</v>
      </c>
      <c r="K149" s="39" t="n">
        <v>93000</v>
      </c>
      <c r="L149" s="35" t="s">
        <v>285</v>
      </c>
      <c r="M149" s="40" t="n">
        <v>0</v>
      </c>
      <c r="N149" s="41" t="n">
        <v>12</v>
      </c>
      <c r="O149" s="42" t="s">
        <v>279</v>
      </c>
      <c r="P149" s="39" t="n">
        <v>4100</v>
      </c>
      <c r="Q149" s="39" t="n">
        <v>0</v>
      </c>
      <c r="R149" s="43" t="n">
        <v>0</v>
      </c>
      <c r="S149" s="39" t="n">
        <v>0</v>
      </c>
      <c r="T149" s="39" t="n">
        <v>4100</v>
      </c>
      <c r="U149" s="44" t="n">
        <v>1</v>
      </c>
      <c r="V149" s="35" t="n">
        <v>2022</v>
      </c>
    </row>
    <row r="150" customFormat="false" ht="15" hidden="false" customHeight="true" outlineLevel="0" collapsed="false">
      <c r="A150" s="35" t="s">
        <v>463</v>
      </c>
      <c r="B150" s="35" t="n">
        <v>22</v>
      </c>
      <c r="C150" s="35" t="s">
        <v>273</v>
      </c>
      <c r="D150" s="36" t="s">
        <v>309</v>
      </c>
      <c r="E150" s="36" t="s">
        <v>336</v>
      </c>
      <c r="F150" s="37" t="s">
        <v>276</v>
      </c>
      <c r="G150" s="36" t="s">
        <v>277</v>
      </c>
      <c r="H150" s="38" t="n">
        <v>1300</v>
      </c>
      <c r="I150" s="35" t="n">
        <v>2019</v>
      </c>
      <c r="J150" s="35" t="n">
        <v>5</v>
      </c>
      <c r="K150" s="39" t="n">
        <v>30000</v>
      </c>
      <c r="L150" s="35" t="s">
        <v>278</v>
      </c>
      <c r="M150" s="40" t="n">
        <v>0.3833</v>
      </c>
      <c r="N150" s="41" t="n">
        <v>13</v>
      </c>
      <c r="O150" s="42" t="s">
        <v>279</v>
      </c>
      <c r="P150" s="39" t="n">
        <v>1600</v>
      </c>
      <c r="Q150" s="39" t="n">
        <v>613</v>
      </c>
      <c r="R150" s="43" t="n">
        <v>0</v>
      </c>
      <c r="S150" s="39" t="n">
        <v>0</v>
      </c>
      <c r="T150" s="39" t="n">
        <v>987</v>
      </c>
      <c r="U150" s="44" t="n">
        <v>1</v>
      </c>
      <c r="V150" s="35" t="n">
        <v>2024</v>
      </c>
    </row>
    <row r="151" customFormat="false" ht="15" hidden="false" customHeight="true" outlineLevel="0" collapsed="false">
      <c r="A151" s="54" t="s">
        <v>464</v>
      </c>
      <c r="B151" s="54" t="n">
        <v>44</v>
      </c>
      <c r="C151" s="54" t="s">
        <v>273</v>
      </c>
      <c r="D151" s="55" t="s">
        <v>281</v>
      </c>
      <c r="E151" s="55" t="s">
        <v>312</v>
      </c>
      <c r="F151" s="56" t="s">
        <v>276</v>
      </c>
      <c r="G151" s="55" t="s">
        <v>314</v>
      </c>
      <c r="H151" s="57" t="n">
        <v>850</v>
      </c>
      <c r="I151" s="54" t="n">
        <v>2020</v>
      </c>
      <c r="J151" s="54" t="n">
        <v>4</v>
      </c>
      <c r="K151" s="58" t="n">
        <v>14000</v>
      </c>
      <c r="L151" s="54" t="s">
        <v>285</v>
      </c>
      <c r="M151" s="59" t="n">
        <v>0.3833</v>
      </c>
      <c r="N151" s="60" t="n">
        <v>10</v>
      </c>
      <c r="O151" s="61" t="s">
        <v>279</v>
      </c>
      <c r="P151" s="58" t="n">
        <v>800</v>
      </c>
      <c r="Q151" s="58" t="n">
        <v>307</v>
      </c>
      <c r="R151" s="62" t="n">
        <v>0</v>
      </c>
      <c r="S151" s="58" t="n">
        <v>0</v>
      </c>
      <c r="T151" s="58" t="n">
        <v>493</v>
      </c>
      <c r="U151" s="63" t="n">
        <v>0</v>
      </c>
      <c r="V151" s="54" t="n">
        <v>2023</v>
      </c>
    </row>
    <row r="152" customFormat="false" ht="15" hidden="false" customHeight="true" outlineLevel="0" collapsed="false">
      <c r="A152" s="45" t="s">
        <v>465</v>
      </c>
      <c r="B152" s="45" t="n">
        <v>40</v>
      </c>
      <c r="C152" s="45" t="s">
        <v>273</v>
      </c>
      <c r="D152" s="46" t="s">
        <v>330</v>
      </c>
      <c r="E152" s="46" t="s">
        <v>301</v>
      </c>
      <c r="F152" s="47" t="s">
        <v>276</v>
      </c>
      <c r="G152" s="46" t="s">
        <v>359</v>
      </c>
      <c r="H152" s="48" t="n">
        <v>1500</v>
      </c>
      <c r="I152" s="45" t="n">
        <v>2023</v>
      </c>
      <c r="J152" s="45" t="n">
        <v>1</v>
      </c>
      <c r="K152" s="49" t="n">
        <v>31000</v>
      </c>
      <c r="L152" s="45" t="s">
        <v>285</v>
      </c>
      <c r="M152" s="50" t="n">
        <v>0.3833</v>
      </c>
      <c r="N152" s="64" t="n">
        <v>11</v>
      </c>
      <c r="O152" s="65" t="s">
        <v>279</v>
      </c>
      <c r="P152" s="49" t="n">
        <v>1400</v>
      </c>
      <c r="Q152" s="49" t="n">
        <v>537</v>
      </c>
      <c r="R152" s="53" t="n">
        <v>0</v>
      </c>
      <c r="S152" s="49" t="n">
        <v>0</v>
      </c>
      <c r="T152" s="49" t="n">
        <v>863</v>
      </c>
      <c r="U152" s="51" t="n">
        <v>0</v>
      </c>
      <c r="V152" s="45" t="n">
        <v>2022</v>
      </c>
    </row>
    <row r="153" customFormat="false" ht="15" hidden="false" customHeight="true" outlineLevel="0" collapsed="false">
      <c r="A153" s="54" t="s">
        <v>466</v>
      </c>
      <c r="B153" s="54" t="n">
        <v>23</v>
      </c>
      <c r="C153" s="54" t="s">
        <v>288</v>
      </c>
      <c r="D153" s="55" t="s">
        <v>281</v>
      </c>
      <c r="E153" s="55" t="s">
        <v>289</v>
      </c>
      <c r="F153" s="56" t="s">
        <v>276</v>
      </c>
      <c r="G153" s="55" t="s">
        <v>277</v>
      </c>
      <c r="H153" s="57" t="n">
        <v>1300</v>
      </c>
      <c r="I153" s="54" t="n">
        <v>2019</v>
      </c>
      <c r="J153" s="54" t="n">
        <v>5</v>
      </c>
      <c r="K153" s="58" t="n">
        <v>25000</v>
      </c>
      <c r="L153" s="54" t="s">
        <v>285</v>
      </c>
      <c r="M153" s="59" t="n">
        <v>0.3833</v>
      </c>
      <c r="N153" s="60" t="n">
        <v>16</v>
      </c>
      <c r="O153" s="61" t="s">
        <v>279</v>
      </c>
      <c r="P153" s="58" t="n">
        <v>1100</v>
      </c>
      <c r="Q153" s="58" t="n">
        <v>422</v>
      </c>
      <c r="R153" s="62" t="n">
        <v>0</v>
      </c>
      <c r="S153" s="58" t="n">
        <v>0</v>
      </c>
      <c r="T153" s="58" t="n">
        <v>678</v>
      </c>
      <c r="U153" s="63" t="n">
        <v>0</v>
      </c>
      <c r="V153" s="54" t="n">
        <v>2022</v>
      </c>
    </row>
    <row r="154" customFormat="false" ht="15" hidden="false" customHeight="true" outlineLevel="0" collapsed="false">
      <c r="A154" s="45" t="s">
        <v>467</v>
      </c>
      <c r="B154" s="45" t="n">
        <v>32</v>
      </c>
      <c r="C154" s="45" t="s">
        <v>273</v>
      </c>
      <c r="D154" s="46" t="s">
        <v>307</v>
      </c>
      <c r="E154" s="46" t="s">
        <v>301</v>
      </c>
      <c r="F154" s="47" t="s">
        <v>283</v>
      </c>
      <c r="G154" s="46" t="s">
        <v>284</v>
      </c>
      <c r="H154" s="48" t="n">
        <v>1332</v>
      </c>
      <c r="I154" s="45" t="n">
        <v>2015</v>
      </c>
      <c r="J154" s="45" t="n">
        <v>9</v>
      </c>
      <c r="K154" s="49" t="n">
        <v>15000</v>
      </c>
      <c r="L154" s="45" t="s">
        <v>285</v>
      </c>
      <c r="M154" s="50" t="n">
        <v>0.3</v>
      </c>
      <c r="N154" s="70" t="n">
        <v>17</v>
      </c>
      <c r="O154" s="65" t="s">
        <v>318</v>
      </c>
      <c r="P154" s="49" t="n">
        <v>800</v>
      </c>
      <c r="Q154" s="49" t="n">
        <v>240</v>
      </c>
      <c r="R154" s="53" t="n">
        <v>0</v>
      </c>
      <c r="S154" s="49" t="n">
        <v>0</v>
      </c>
      <c r="T154" s="49" t="n">
        <v>560</v>
      </c>
      <c r="U154" s="51" t="n">
        <v>0</v>
      </c>
      <c r="V154" s="45" t="n">
        <v>2022</v>
      </c>
    </row>
    <row r="155" customFormat="false" ht="15" hidden="false" customHeight="true" outlineLevel="0" collapsed="false">
      <c r="A155" s="54" t="s">
        <v>468</v>
      </c>
      <c r="B155" s="54" t="n">
        <v>60</v>
      </c>
      <c r="C155" s="54" t="s">
        <v>273</v>
      </c>
      <c r="D155" s="55" t="s">
        <v>309</v>
      </c>
      <c r="E155" s="55" t="s">
        <v>383</v>
      </c>
      <c r="F155" s="56" t="s">
        <v>276</v>
      </c>
      <c r="G155" s="55" t="s">
        <v>343</v>
      </c>
      <c r="H155" s="57" t="n">
        <v>1300</v>
      </c>
      <c r="I155" s="54" t="n">
        <v>2017</v>
      </c>
      <c r="J155" s="54" t="n">
        <v>7</v>
      </c>
      <c r="K155" s="58" t="n">
        <v>18000</v>
      </c>
      <c r="L155" s="54" t="s">
        <v>285</v>
      </c>
      <c r="M155" s="59" t="n">
        <v>0.3</v>
      </c>
      <c r="N155" s="60" t="n">
        <v>13</v>
      </c>
      <c r="O155" s="61" t="s">
        <v>279</v>
      </c>
      <c r="P155" s="58" t="n">
        <v>800</v>
      </c>
      <c r="Q155" s="58" t="n">
        <v>240</v>
      </c>
      <c r="R155" s="62" t="n">
        <v>0</v>
      </c>
      <c r="S155" s="58" t="n">
        <v>0</v>
      </c>
      <c r="T155" s="58" t="n">
        <v>560</v>
      </c>
      <c r="U155" s="63" t="n">
        <v>0</v>
      </c>
      <c r="V155" s="54" t="n">
        <v>2022</v>
      </c>
    </row>
    <row r="156" customFormat="false" ht="15" hidden="false" customHeight="true" outlineLevel="0" collapsed="false">
      <c r="A156" s="45" t="s">
        <v>469</v>
      </c>
      <c r="B156" s="45" t="n">
        <v>30</v>
      </c>
      <c r="C156" s="45" t="s">
        <v>288</v>
      </c>
      <c r="D156" s="46" t="s">
        <v>274</v>
      </c>
      <c r="E156" s="46" t="s">
        <v>301</v>
      </c>
      <c r="F156" s="47" t="s">
        <v>276</v>
      </c>
      <c r="G156" s="46" t="s">
        <v>277</v>
      </c>
      <c r="H156" s="48" t="n">
        <v>1300</v>
      </c>
      <c r="I156" s="45" t="n">
        <v>2022</v>
      </c>
      <c r="J156" s="45" t="n">
        <v>2</v>
      </c>
      <c r="K156" s="49" t="n">
        <v>36000</v>
      </c>
      <c r="L156" s="45" t="s">
        <v>285</v>
      </c>
      <c r="M156" s="50" t="n">
        <v>0.3833</v>
      </c>
      <c r="N156" s="64" t="n">
        <v>11</v>
      </c>
      <c r="O156" s="65" t="s">
        <v>279</v>
      </c>
      <c r="P156" s="49" t="n">
        <v>1600</v>
      </c>
      <c r="Q156" s="49" t="n">
        <v>613</v>
      </c>
      <c r="R156" s="53" t="n">
        <v>0</v>
      </c>
      <c r="S156" s="49" t="n">
        <v>0</v>
      </c>
      <c r="T156" s="49" t="n">
        <v>987</v>
      </c>
      <c r="U156" s="51" t="n">
        <v>0</v>
      </c>
      <c r="V156" s="45" t="n">
        <v>2023</v>
      </c>
    </row>
    <row r="157" customFormat="false" ht="15" hidden="false" customHeight="true" outlineLevel="0" collapsed="false">
      <c r="A157" s="54" t="s">
        <v>470</v>
      </c>
      <c r="B157" s="54" t="n">
        <v>27</v>
      </c>
      <c r="C157" s="54" t="s">
        <v>273</v>
      </c>
      <c r="D157" s="55" t="s">
        <v>330</v>
      </c>
      <c r="E157" s="55" t="s">
        <v>289</v>
      </c>
      <c r="F157" s="56" t="s">
        <v>276</v>
      </c>
      <c r="G157" s="55" t="s">
        <v>277</v>
      </c>
      <c r="H157" s="57" t="n">
        <v>1300</v>
      </c>
      <c r="I157" s="54" t="n">
        <v>2023</v>
      </c>
      <c r="J157" s="54" t="n">
        <v>1</v>
      </c>
      <c r="K157" s="58" t="n">
        <v>27000</v>
      </c>
      <c r="L157" s="54" t="s">
        <v>285</v>
      </c>
      <c r="M157" s="59" t="n">
        <v>0.3</v>
      </c>
      <c r="N157" s="60" t="n">
        <v>11</v>
      </c>
      <c r="O157" s="61" t="s">
        <v>279</v>
      </c>
      <c r="P157" s="58" t="n">
        <v>1200</v>
      </c>
      <c r="Q157" s="58" t="n">
        <v>360</v>
      </c>
      <c r="R157" s="62" t="n">
        <v>0</v>
      </c>
      <c r="S157" s="58" t="n">
        <v>0</v>
      </c>
      <c r="T157" s="58" t="n">
        <v>840</v>
      </c>
      <c r="U157" s="63" t="n">
        <v>0</v>
      </c>
      <c r="V157" s="54" t="n">
        <v>2022</v>
      </c>
    </row>
    <row r="158" customFormat="false" ht="15" hidden="false" customHeight="true" outlineLevel="0" collapsed="false">
      <c r="A158" s="45" t="s">
        <v>471</v>
      </c>
      <c r="B158" s="45" t="n">
        <v>39</v>
      </c>
      <c r="C158" s="45" t="s">
        <v>288</v>
      </c>
      <c r="D158" s="46" t="s">
        <v>281</v>
      </c>
      <c r="E158" s="46" t="s">
        <v>336</v>
      </c>
      <c r="F158" s="47" t="s">
        <v>276</v>
      </c>
      <c r="G158" s="46" t="s">
        <v>359</v>
      </c>
      <c r="H158" s="48" t="n">
        <v>1500</v>
      </c>
      <c r="I158" s="45" t="n">
        <v>2016</v>
      </c>
      <c r="J158" s="45" t="n">
        <v>8</v>
      </c>
      <c r="K158" s="49" t="n">
        <v>26000</v>
      </c>
      <c r="L158" s="45" t="s">
        <v>285</v>
      </c>
      <c r="M158" s="50" t="n">
        <v>0.25</v>
      </c>
      <c r="N158" s="64" t="n">
        <v>14</v>
      </c>
      <c r="O158" s="65" t="s">
        <v>279</v>
      </c>
      <c r="P158" s="49" t="n">
        <v>1100</v>
      </c>
      <c r="Q158" s="49" t="n">
        <v>275</v>
      </c>
      <c r="R158" s="53" t="n">
        <v>0</v>
      </c>
      <c r="S158" s="49" t="n">
        <v>0</v>
      </c>
      <c r="T158" s="49" t="n">
        <v>825</v>
      </c>
      <c r="U158" s="51" t="n">
        <v>0</v>
      </c>
      <c r="V158" s="45" t="n">
        <v>2024</v>
      </c>
    </row>
    <row r="159" customFormat="false" ht="15" hidden="false" customHeight="true" outlineLevel="0" collapsed="false">
      <c r="A159" s="54" t="s">
        <v>472</v>
      </c>
      <c r="B159" s="54" t="n">
        <v>69</v>
      </c>
      <c r="C159" s="54" t="s">
        <v>273</v>
      </c>
      <c r="D159" s="55" t="s">
        <v>307</v>
      </c>
      <c r="E159" s="55" t="s">
        <v>322</v>
      </c>
      <c r="F159" s="56" t="s">
        <v>283</v>
      </c>
      <c r="G159" s="55" t="s">
        <v>284</v>
      </c>
      <c r="H159" s="57" t="n">
        <v>1332</v>
      </c>
      <c r="I159" s="54" t="n">
        <v>2019</v>
      </c>
      <c r="J159" s="54" t="n">
        <v>5</v>
      </c>
      <c r="K159" s="58" t="n">
        <v>33000</v>
      </c>
      <c r="L159" s="54" t="s">
        <v>285</v>
      </c>
      <c r="M159" s="59" t="n">
        <v>0.45</v>
      </c>
      <c r="N159" s="69" t="n">
        <v>17</v>
      </c>
      <c r="O159" s="61" t="s">
        <v>318</v>
      </c>
      <c r="P159" s="58" t="n">
        <v>1500</v>
      </c>
      <c r="Q159" s="58" t="n">
        <v>675</v>
      </c>
      <c r="R159" s="62" t="n">
        <v>0</v>
      </c>
      <c r="S159" s="58" t="n">
        <v>0</v>
      </c>
      <c r="T159" s="58" t="n">
        <v>825</v>
      </c>
      <c r="U159" s="63" t="n">
        <v>0</v>
      </c>
      <c r="V159" s="54" t="n">
        <v>2023</v>
      </c>
    </row>
    <row r="160" customFormat="false" ht="15" hidden="false" customHeight="true" outlineLevel="0" collapsed="false">
      <c r="A160" s="45" t="s">
        <v>473</v>
      </c>
      <c r="B160" s="45" t="n">
        <v>30</v>
      </c>
      <c r="C160" s="45" t="s">
        <v>288</v>
      </c>
      <c r="D160" s="46" t="s">
        <v>281</v>
      </c>
      <c r="E160" s="46" t="s">
        <v>294</v>
      </c>
      <c r="F160" s="47" t="s">
        <v>298</v>
      </c>
      <c r="G160" s="46" t="s">
        <v>299</v>
      </c>
      <c r="H160" s="48" t="n">
        <v>1496</v>
      </c>
      <c r="I160" s="45" t="n">
        <v>2018</v>
      </c>
      <c r="J160" s="45" t="n">
        <v>6</v>
      </c>
      <c r="K160" s="49" t="n">
        <v>65000</v>
      </c>
      <c r="L160" s="45" t="s">
        <v>285</v>
      </c>
      <c r="M160" s="50" t="n">
        <v>0.45</v>
      </c>
      <c r="N160" s="64" t="n">
        <v>11</v>
      </c>
      <c r="O160" s="65" t="s">
        <v>279</v>
      </c>
      <c r="P160" s="49" t="n">
        <v>2900</v>
      </c>
      <c r="Q160" s="49" t="n">
        <v>1305</v>
      </c>
      <c r="R160" s="53" t="n">
        <v>0</v>
      </c>
      <c r="S160" s="49" t="n">
        <v>0</v>
      </c>
      <c r="T160" s="49" t="n">
        <v>1595</v>
      </c>
      <c r="U160" s="51" t="n">
        <v>0</v>
      </c>
      <c r="V160" s="45" t="n">
        <v>2023</v>
      </c>
    </row>
    <row r="161" customFormat="false" ht="15" hidden="false" customHeight="true" outlineLevel="0" collapsed="false">
      <c r="A161" s="54" t="s">
        <v>474</v>
      </c>
      <c r="B161" s="54" t="n">
        <v>47</v>
      </c>
      <c r="C161" s="54" t="s">
        <v>273</v>
      </c>
      <c r="D161" s="55" t="s">
        <v>307</v>
      </c>
      <c r="E161" s="55" t="s">
        <v>289</v>
      </c>
      <c r="F161" s="56" t="s">
        <v>276</v>
      </c>
      <c r="G161" s="55" t="s">
        <v>277</v>
      </c>
      <c r="H161" s="57" t="n">
        <v>1300</v>
      </c>
      <c r="I161" s="54" t="n">
        <v>2022</v>
      </c>
      <c r="J161" s="54" t="n">
        <v>2</v>
      </c>
      <c r="K161" s="58" t="n">
        <v>30000</v>
      </c>
      <c r="L161" s="54" t="s">
        <v>285</v>
      </c>
      <c r="M161" s="59" t="n">
        <v>0.55</v>
      </c>
      <c r="N161" s="63" t="n">
        <v>6</v>
      </c>
      <c r="O161" s="66" t="s">
        <v>286</v>
      </c>
      <c r="P161" s="58" t="n">
        <v>1300</v>
      </c>
      <c r="Q161" s="58" t="n">
        <v>715</v>
      </c>
      <c r="R161" s="62" t="n">
        <v>0</v>
      </c>
      <c r="S161" s="58" t="n">
        <v>0</v>
      </c>
      <c r="T161" s="58" t="n">
        <v>585</v>
      </c>
      <c r="U161" s="63" t="n">
        <v>0</v>
      </c>
      <c r="V161" s="54" t="n">
        <v>2023</v>
      </c>
    </row>
    <row r="162" customFormat="false" ht="15" hidden="false" customHeight="true" outlineLevel="0" collapsed="false">
      <c r="A162" s="45" t="s">
        <v>475</v>
      </c>
      <c r="B162" s="45" t="n">
        <v>51</v>
      </c>
      <c r="C162" s="45" t="s">
        <v>273</v>
      </c>
      <c r="D162" s="46" t="s">
        <v>293</v>
      </c>
      <c r="E162" s="46" t="s">
        <v>383</v>
      </c>
      <c r="F162" s="47" t="s">
        <v>276</v>
      </c>
      <c r="G162" s="46" t="s">
        <v>277</v>
      </c>
      <c r="H162" s="48" t="n">
        <v>1300</v>
      </c>
      <c r="I162" s="45" t="n">
        <v>2023</v>
      </c>
      <c r="J162" s="45" t="n">
        <v>1</v>
      </c>
      <c r="K162" s="49" t="n">
        <v>33000</v>
      </c>
      <c r="L162" s="45" t="s">
        <v>285</v>
      </c>
      <c r="M162" s="50" t="n">
        <v>0.55</v>
      </c>
      <c r="N162" s="64" t="n">
        <v>11</v>
      </c>
      <c r="O162" s="65" t="s">
        <v>279</v>
      </c>
      <c r="P162" s="49" t="n">
        <v>1500</v>
      </c>
      <c r="Q162" s="49" t="n">
        <v>825</v>
      </c>
      <c r="R162" s="53" t="n">
        <v>0</v>
      </c>
      <c r="S162" s="49" t="n">
        <v>0</v>
      </c>
      <c r="T162" s="49" t="n">
        <v>675</v>
      </c>
      <c r="U162" s="51" t="n">
        <v>0</v>
      </c>
      <c r="V162" s="45" t="n">
        <v>2022</v>
      </c>
    </row>
    <row r="163" customFormat="false" ht="15" hidden="false" customHeight="true" outlineLevel="0" collapsed="false">
      <c r="A163" s="54" t="s">
        <v>476</v>
      </c>
      <c r="B163" s="54" t="n">
        <v>30</v>
      </c>
      <c r="C163" s="54" t="s">
        <v>273</v>
      </c>
      <c r="D163" s="55" t="s">
        <v>293</v>
      </c>
      <c r="E163" s="55" t="s">
        <v>275</v>
      </c>
      <c r="F163" s="56" t="s">
        <v>276</v>
      </c>
      <c r="G163" s="55" t="s">
        <v>314</v>
      </c>
      <c r="H163" s="57" t="n">
        <v>850</v>
      </c>
      <c r="I163" s="54" t="n">
        <v>2018</v>
      </c>
      <c r="J163" s="54" t="n">
        <v>6</v>
      </c>
      <c r="K163" s="58" t="n">
        <v>15000</v>
      </c>
      <c r="L163" s="54" t="s">
        <v>278</v>
      </c>
      <c r="M163" s="59" t="n">
        <v>0.55</v>
      </c>
      <c r="N163" s="63" t="n">
        <v>6</v>
      </c>
      <c r="O163" s="66" t="s">
        <v>286</v>
      </c>
      <c r="P163" s="58" t="n">
        <v>800</v>
      </c>
      <c r="Q163" s="58" t="n">
        <v>440</v>
      </c>
      <c r="R163" s="62" t="n">
        <v>0</v>
      </c>
      <c r="S163" s="58" t="n">
        <v>0</v>
      </c>
      <c r="T163" s="58" t="n">
        <v>360</v>
      </c>
      <c r="U163" s="63" t="n">
        <v>0</v>
      </c>
      <c r="V163" s="54" t="n">
        <v>2024</v>
      </c>
    </row>
    <row r="164" customFormat="false" ht="15" hidden="false" customHeight="true" outlineLevel="0" collapsed="false">
      <c r="A164" s="45" t="s">
        <v>477</v>
      </c>
      <c r="B164" s="45" t="n">
        <v>50</v>
      </c>
      <c r="C164" s="45" t="s">
        <v>288</v>
      </c>
      <c r="D164" s="46" t="s">
        <v>281</v>
      </c>
      <c r="E164" s="46" t="s">
        <v>383</v>
      </c>
      <c r="F164" s="47" t="s">
        <v>283</v>
      </c>
      <c r="G164" s="46" t="s">
        <v>284</v>
      </c>
      <c r="H164" s="48" t="n">
        <v>1332</v>
      </c>
      <c r="I164" s="45" t="n">
        <v>2016</v>
      </c>
      <c r="J164" s="45" t="n">
        <v>8</v>
      </c>
      <c r="K164" s="49" t="n">
        <v>25000</v>
      </c>
      <c r="L164" s="45" t="s">
        <v>285</v>
      </c>
      <c r="M164" s="50" t="n">
        <v>0.55</v>
      </c>
      <c r="N164" s="64" t="n">
        <v>9</v>
      </c>
      <c r="O164" s="65" t="s">
        <v>279</v>
      </c>
      <c r="P164" s="49" t="n">
        <v>1100</v>
      </c>
      <c r="Q164" s="49" t="n">
        <v>605</v>
      </c>
      <c r="R164" s="53" t="n">
        <v>0</v>
      </c>
      <c r="S164" s="49" t="n">
        <v>0</v>
      </c>
      <c r="T164" s="49" t="n">
        <v>495</v>
      </c>
      <c r="U164" s="51" t="n">
        <v>0</v>
      </c>
      <c r="V164" s="45" t="n">
        <v>2023</v>
      </c>
    </row>
    <row r="165" customFormat="false" ht="15" hidden="false" customHeight="true" outlineLevel="0" collapsed="false">
      <c r="A165" s="54" t="s">
        <v>478</v>
      </c>
      <c r="B165" s="54" t="n">
        <v>35</v>
      </c>
      <c r="C165" s="54" t="s">
        <v>288</v>
      </c>
      <c r="D165" s="55" t="s">
        <v>281</v>
      </c>
      <c r="E165" s="55" t="s">
        <v>336</v>
      </c>
      <c r="F165" s="56" t="s">
        <v>276</v>
      </c>
      <c r="G165" s="55" t="s">
        <v>314</v>
      </c>
      <c r="H165" s="57" t="n">
        <v>850</v>
      </c>
      <c r="I165" s="54" t="n">
        <v>2015</v>
      </c>
      <c r="J165" s="54" t="n">
        <v>9</v>
      </c>
      <c r="K165" s="58" t="n">
        <v>12000</v>
      </c>
      <c r="L165" s="54" t="s">
        <v>278</v>
      </c>
      <c r="M165" s="59" t="n">
        <v>0.55</v>
      </c>
      <c r="N165" s="60" t="n">
        <v>10</v>
      </c>
      <c r="O165" s="61" t="s">
        <v>279</v>
      </c>
      <c r="P165" s="58" t="n">
        <v>800</v>
      </c>
      <c r="Q165" s="58" t="n">
        <v>440</v>
      </c>
      <c r="R165" s="62" t="n">
        <v>0</v>
      </c>
      <c r="S165" s="58" t="n">
        <v>0</v>
      </c>
      <c r="T165" s="58" t="n">
        <v>360</v>
      </c>
      <c r="U165" s="63" t="n">
        <v>0</v>
      </c>
      <c r="V165" s="54" t="n">
        <v>2023</v>
      </c>
    </row>
    <row r="166" customFormat="false" ht="15" hidden="false" customHeight="true" outlineLevel="0" collapsed="false">
      <c r="A166" s="45" t="s">
        <v>479</v>
      </c>
      <c r="B166" s="45" t="n">
        <v>45</v>
      </c>
      <c r="C166" s="45" t="s">
        <v>288</v>
      </c>
      <c r="D166" s="46" t="s">
        <v>307</v>
      </c>
      <c r="E166" s="46" t="s">
        <v>289</v>
      </c>
      <c r="F166" s="47" t="s">
        <v>302</v>
      </c>
      <c r="G166" s="46" t="s">
        <v>303</v>
      </c>
      <c r="H166" s="48" t="n">
        <v>1498</v>
      </c>
      <c r="I166" s="45" t="n">
        <v>2023</v>
      </c>
      <c r="J166" s="45" t="n">
        <v>1</v>
      </c>
      <c r="K166" s="49" t="n">
        <v>59000</v>
      </c>
      <c r="L166" s="45" t="s">
        <v>278</v>
      </c>
      <c r="M166" s="50" t="n">
        <v>0.3833</v>
      </c>
      <c r="N166" s="64" t="n">
        <v>15</v>
      </c>
      <c r="O166" s="65" t="s">
        <v>279</v>
      </c>
      <c r="P166" s="49" t="n">
        <v>3200</v>
      </c>
      <c r="Q166" s="49" t="n">
        <v>1227</v>
      </c>
      <c r="R166" s="53" t="n">
        <v>0</v>
      </c>
      <c r="S166" s="49" t="n">
        <v>0</v>
      </c>
      <c r="T166" s="49" t="n">
        <v>1973</v>
      </c>
      <c r="U166" s="51" t="n">
        <v>0</v>
      </c>
      <c r="V166" s="45" t="n">
        <v>2023</v>
      </c>
    </row>
    <row r="167" customFormat="false" ht="15" hidden="false" customHeight="true" outlineLevel="0" collapsed="false">
      <c r="A167" s="54" t="s">
        <v>480</v>
      </c>
      <c r="B167" s="54" t="n">
        <v>45</v>
      </c>
      <c r="C167" s="54" t="s">
        <v>273</v>
      </c>
      <c r="D167" s="55" t="s">
        <v>307</v>
      </c>
      <c r="E167" s="55" t="s">
        <v>289</v>
      </c>
      <c r="F167" s="56" t="s">
        <v>276</v>
      </c>
      <c r="G167" s="55" t="s">
        <v>343</v>
      </c>
      <c r="H167" s="57" t="n">
        <v>1300</v>
      </c>
      <c r="I167" s="54" t="n">
        <v>2022</v>
      </c>
      <c r="J167" s="54" t="n">
        <v>2</v>
      </c>
      <c r="K167" s="58" t="n">
        <v>21000</v>
      </c>
      <c r="L167" s="54" t="s">
        <v>285</v>
      </c>
      <c r="M167" s="59" t="n">
        <v>0.3</v>
      </c>
      <c r="N167" s="60" t="n">
        <v>10</v>
      </c>
      <c r="O167" s="61" t="s">
        <v>279</v>
      </c>
      <c r="P167" s="58" t="n">
        <v>900</v>
      </c>
      <c r="Q167" s="58" t="n">
        <v>270</v>
      </c>
      <c r="R167" s="62" t="n">
        <v>0</v>
      </c>
      <c r="S167" s="58" t="n">
        <v>0</v>
      </c>
      <c r="T167" s="58" t="n">
        <v>630</v>
      </c>
      <c r="U167" s="63" t="n">
        <v>0</v>
      </c>
      <c r="V167" s="54" t="n">
        <v>2023</v>
      </c>
    </row>
    <row r="168" customFormat="false" ht="15" hidden="false" customHeight="true" outlineLevel="0" collapsed="false">
      <c r="A168" s="45" t="s">
        <v>481</v>
      </c>
      <c r="B168" s="45" t="n">
        <v>41</v>
      </c>
      <c r="C168" s="45" t="s">
        <v>288</v>
      </c>
      <c r="D168" s="46" t="s">
        <v>274</v>
      </c>
      <c r="E168" s="46" t="s">
        <v>275</v>
      </c>
      <c r="F168" s="47" t="s">
        <v>283</v>
      </c>
      <c r="G168" s="46" t="s">
        <v>284</v>
      </c>
      <c r="H168" s="48" t="n">
        <v>1332</v>
      </c>
      <c r="I168" s="45" t="n">
        <v>2020</v>
      </c>
      <c r="J168" s="45" t="n">
        <v>4</v>
      </c>
      <c r="K168" s="49" t="n">
        <v>19000</v>
      </c>
      <c r="L168" s="45" t="s">
        <v>285</v>
      </c>
      <c r="M168" s="50" t="n">
        <v>0.3833</v>
      </c>
      <c r="N168" s="51" t="n">
        <v>7</v>
      </c>
      <c r="O168" s="52" t="s">
        <v>286</v>
      </c>
      <c r="P168" s="49" t="n">
        <v>800</v>
      </c>
      <c r="Q168" s="49" t="n">
        <v>307</v>
      </c>
      <c r="R168" s="53" t="n">
        <v>0</v>
      </c>
      <c r="S168" s="49" t="n">
        <v>0</v>
      </c>
      <c r="T168" s="49" t="n">
        <v>493</v>
      </c>
      <c r="U168" s="51" t="n">
        <v>0</v>
      </c>
      <c r="V168" s="45" t="n">
        <v>2023</v>
      </c>
    </row>
    <row r="169" customFormat="false" ht="15" hidden="false" customHeight="true" outlineLevel="0" collapsed="false">
      <c r="A169" s="54" t="s">
        <v>482</v>
      </c>
      <c r="B169" s="54" t="n">
        <v>25</v>
      </c>
      <c r="C169" s="54" t="s">
        <v>288</v>
      </c>
      <c r="D169" s="55" t="s">
        <v>305</v>
      </c>
      <c r="E169" s="55" t="s">
        <v>301</v>
      </c>
      <c r="F169" s="56" t="s">
        <v>290</v>
      </c>
      <c r="G169" s="55" t="s">
        <v>291</v>
      </c>
      <c r="H169" s="57" t="n">
        <v>1498</v>
      </c>
      <c r="I169" s="54" t="n">
        <v>2017</v>
      </c>
      <c r="J169" s="54" t="n">
        <v>7</v>
      </c>
      <c r="K169" s="58" t="n">
        <v>59000</v>
      </c>
      <c r="L169" s="54" t="s">
        <v>278</v>
      </c>
      <c r="M169" s="59" t="n">
        <v>0.45</v>
      </c>
      <c r="N169" s="60" t="n">
        <v>11</v>
      </c>
      <c r="O169" s="61" t="s">
        <v>279</v>
      </c>
      <c r="P169" s="58" t="n">
        <v>3200</v>
      </c>
      <c r="Q169" s="58" t="n">
        <v>1440</v>
      </c>
      <c r="R169" s="62" t="n">
        <v>0</v>
      </c>
      <c r="S169" s="58" t="n">
        <v>0</v>
      </c>
      <c r="T169" s="58" t="n">
        <v>1760</v>
      </c>
      <c r="U169" s="63" t="n">
        <v>0</v>
      </c>
      <c r="V169" s="54" t="n">
        <v>2023</v>
      </c>
    </row>
    <row r="170" customFormat="false" ht="15" hidden="false" customHeight="true" outlineLevel="0" collapsed="false">
      <c r="A170" s="45" t="s">
        <v>483</v>
      </c>
      <c r="B170" s="45" t="n">
        <v>54</v>
      </c>
      <c r="C170" s="45" t="s">
        <v>288</v>
      </c>
      <c r="D170" s="46" t="s">
        <v>293</v>
      </c>
      <c r="E170" s="46" t="s">
        <v>312</v>
      </c>
      <c r="F170" s="47" t="s">
        <v>276</v>
      </c>
      <c r="G170" s="46" t="s">
        <v>359</v>
      </c>
      <c r="H170" s="48" t="n">
        <v>1500</v>
      </c>
      <c r="I170" s="45" t="n">
        <v>2016</v>
      </c>
      <c r="J170" s="45" t="n">
        <v>8</v>
      </c>
      <c r="K170" s="49" t="n">
        <v>56000</v>
      </c>
      <c r="L170" s="45" t="s">
        <v>285</v>
      </c>
      <c r="M170" s="50" t="n">
        <v>0.55</v>
      </c>
      <c r="N170" s="64" t="n">
        <v>10</v>
      </c>
      <c r="O170" s="65" t="s">
        <v>279</v>
      </c>
      <c r="P170" s="49" t="n">
        <v>2500</v>
      </c>
      <c r="Q170" s="49" t="n">
        <v>1375</v>
      </c>
      <c r="R170" s="53" t="n">
        <v>0</v>
      </c>
      <c r="S170" s="49" t="n">
        <v>0</v>
      </c>
      <c r="T170" s="49" t="n">
        <v>1125</v>
      </c>
      <c r="U170" s="51" t="n">
        <v>0</v>
      </c>
      <c r="V170" s="45" t="n">
        <v>2022</v>
      </c>
    </row>
    <row r="171" customFormat="false" ht="15" hidden="false" customHeight="true" outlineLevel="0" collapsed="false">
      <c r="A171" s="54" t="s">
        <v>484</v>
      </c>
      <c r="B171" s="54" t="n">
        <v>33</v>
      </c>
      <c r="C171" s="54" t="s">
        <v>273</v>
      </c>
      <c r="D171" s="55" t="s">
        <v>281</v>
      </c>
      <c r="E171" s="55" t="s">
        <v>282</v>
      </c>
      <c r="F171" s="56" t="s">
        <v>302</v>
      </c>
      <c r="G171" s="55" t="s">
        <v>326</v>
      </c>
      <c r="H171" s="57" t="n">
        <v>1496</v>
      </c>
      <c r="I171" s="54" t="n">
        <v>2022</v>
      </c>
      <c r="J171" s="54" t="n">
        <v>2</v>
      </c>
      <c r="K171" s="58" t="n">
        <v>44000</v>
      </c>
      <c r="L171" s="54" t="s">
        <v>285</v>
      </c>
      <c r="M171" s="59" t="n">
        <v>0</v>
      </c>
      <c r="N171" s="63" t="n">
        <v>7</v>
      </c>
      <c r="O171" s="66" t="s">
        <v>286</v>
      </c>
      <c r="P171" s="58" t="n">
        <v>1900</v>
      </c>
      <c r="Q171" s="58" t="n">
        <v>0</v>
      </c>
      <c r="R171" s="62" t="n">
        <v>0</v>
      </c>
      <c r="S171" s="58" t="n">
        <v>0</v>
      </c>
      <c r="T171" s="58" t="n">
        <v>1900</v>
      </c>
      <c r="U171" s="63" t="n">
        <v>0</v>
      </c>
      <c r="V171" s="54" t="n">
        <v>2024</v>
      </c>
    </row>
    <row r="172" customFormat="false" ht="15" hidden="false" customHeight="true" outlineLevel="0" collapsed="false">
      <c r="A172" s="45" t="s">
        <v>485</v>
      </c>
      <c r="B172" s="45" t="n">
        <v>28</v>
      </c>
      <c r="C172" s="45" t="s">
        <v>273</v>
      </c>
      <c r="D172" s="46" t="s">
        <v>309</v>
      </c>
      <c r="E172" s="46" t="s">
        <v>275</v>
      </c>
      <c r="F172" s="47" t="s">
        <v>276</v>
      </c>
      <c r="G172" s="46" t="s">
        <v>343</v>
      </c>
      <c r="H172" s="48" t="n">
        <v>1300</v>
      </c>
      <c r="I172" s="45" t="n">
        <v>2024</v>
      </c>
      <c r="J172" s="45" t="n">
        <v>0</v>
      </c>
      <c r="K172" s="49" t="n">
        <v>28000</v>
      </c>
      <c r="L172" s="45" t="s">
        <v>285</v>
      </c>
      <c r="M172" s="50" t="n">
        <v>0.3</v>
      </c>
      <c r="N172" s="64" t="n">
        <v>13</v>
      </c>
      <c r="O172" s="65" t="s">
        <v>279</v>
      </c>
      <c r="P172" s="49" t="n">
        <v>1200</v>
      </c>
      <c r="Q172" s="49" t="n">
        <v>360</v>
      </c>
      <c r="R172" s="53" t="n">
        <v>0</v>
      </c>
      <c r="S172" s="49" t="n">
        <v>0</v>
      </c>
      <c r="T172" s="49" t="n">
        <v>840</v>
      </c>
      <c r="U172" s="51" t="n">
        <v>0</v>
      </c>
      <c r="V172" s="45" t="n">
        <v>2023</v>
      </c>
    </row>
    <row r="173" customFormat="false" ht="15" hidden="false" customHeight="true" outlineLevel="0" collapsed="false">
      <c r="A173" s="54" t="s">
        <v>486</v>
      </c>
      <c r="B173" s="54" t="n">
        <v>22</v>
      </c>
      <c r="C173" s="54" t="s">
        <v>273</v>
      </c>
      <c r="D173" s="55" t="s">
        <v>309</v>
      </c>
      <c r="E173" s="55" t="s">
        <v>383</v>
      </c>
      <c r="F173" s="56" t="s">
        <v>283</v>
      </c>
      <c r="G173" s="55" t="s">
        <v>284</v>
      </c>
      <c r="H173" s="57" t="n">
        <v>1332</v>
      </c>
      <c r="I173" s="54" t="n">
        <v>2017</v>
      </c>
      <c r="J173" s="54" t="n">
        <v>7</v>
      </c>
      <c r="K173" s="58" t="n">
        <v>35000</v>
      </c>
      <c r="L173" s="54" t="s">
        <v>285</v>
      </c>
      <c r="M173" s="59" t="n">
        <v>0.55</v>
      </c>
      <c r="N173" s="60" t="n">
        <v>14</v>
      </c>
      <c r="O173" s="61" t="s">
        <v>279</v>
      </c>
      <c r="P173" s="58" t="n">
        <v>1500</v>
      </c>
      <c r="Q173" s="58" t="n">
        <v>825</v>
      </c>
      <c r="R173" s="62" t="n">
        <v>0</v>
      </c>
      <c r="S173" s="58" t="n">
        <v>0</v>
      </c>
      <c r="T173" s="58" t="n">
        <v>675</v>
      </c>
      <c r="U173" s="63" t="n">
        <v>0</v>
      </c>
      <c r="V173" s="54" t="n">
        <v>2023</v>
      </c>
    </row>
    <row r="174" customFormat="false" ht="15" hidden="false" customHeight="true" outlineLevel="0" collapsed="false">
      <c r="A174" s="45" t="s">
        <v>487</v>
      </c>
      <c r="B174" s="45" t="n">
        <v>43</v>
      </c>
      <c r="C174" s="45" t="s">
        <v>273</v>
      </c>
      <c r="D174" s="46" t="s">
        <v>274</v>
      </c>
      <c r="E174" s="46" t="s">
        <v>282</v>
      </c>
      <c r="F174" s="47" t="s">
        <v>276</v>
      </c>
      <c r="G174" s="46" t="s">
        <v>359</v>
      </c>
      <c r="H174" s="48" t="n">
        <v>1500</v>
      </c>
      <c r="I174" s="45" t="n">
        <v>2015</v>
      </c>
      <c r="J174" s="45" t="n">
        <v>9</v>
      </c>
      <c r="K174" s="49" t="n">
        <v>23000</v>
      </c>
      <c r="L174" s="45" t="s">
        <v>285</v>
      </c>
      <c r="M174" s="50" t="n">
        <v>0.55</v>
      </c>
      <c r="N174" s="64" t="n">
        <v>15</v>
      </c>
      <c r="O174" s="65" t="s">
        <v>279</v>
      </c>
      <c r="P174" s="49" t="n">
        <v>1000</v>
      </c>
      <c r="Q174" s="49" t="n">
        <v>550</v>
      </c>
      <c r="R174" s="53" t="n">
        <v>0</v>
      </c>
      <c r="S174" s="49" t="n">
        <v>0</v>
      </c>
      <c r="T174" s="49" t="n">
        <v>450</v>
      </c>
      <c r="U174" s="51" t="n">
        <v>0</v>
      </c>
      <c r="V174" s="45" t="n">
        <v>2023</v>
      </c>
    </row>
    <row r="175" customFormat="false" ht="15" hidden="false" customHeight="true" outlineLevel="0" collapsed="false">
      <c r="A175" s="54" t="s">
        <v>488</v>
      </c>
      <c r="B175" s="54" t="n">
        <v>47</v>
      </c>
      <c r="C175" s="54" t="s">
        <v>288</v>
      </c>
      <c r="D175" s="55" t="s">
        <v>274</v>
      </c>
      <c r="E175" s="55" t="s">
        <v>336</v>
      </c>
      <c r="F175" s="56" t="s">
        <v>276</v>
      </c>
      <c r="G175" s="55" t="s">
        <v>277</v>
      </c>
      <c r="H175" s="57" t="n">
        <v>1300</v>
      </c>
      <c r="I175" s="54" t="n">
        <v>2021</v>
      </c>
      <c r="J175" s="54" t="n">
        <v>3</v>
      </c>
      <c r="K175" s="58" t="n">
        <v>41000</v>
      </c>
      <c r="L175" s="54" t="s">
        <v>285</v>
      </c>
      <c r="M175" s="59" t="n">
        <v>0.3</v>
      </c>
      <c r="N175" s="60" t="n">
        <v>10</v>
      </c>
      <c r="O175" s="61" t="s">
        <v>279</v>
      </c>
      <c r="P175" s="58" t="n">
        <v>1800</v>
      </c>
      <c r="Q175" s="58" t="n">
        <v>540</v>
      </c>
      <c r="R175" s="62" t="n">
        <v>0</v>
      </c>
      <c r="S175" s="58" t="n">
        <v>0</v>
      </c>
      <c r="T175" s="58" t="n">
        <v>1260</v>
      </c>
      <c r="U175" s="63" t="n">
        <v>0</v>
      </c>
      <c r="V175" s="54" t="n">
        <v>2023</v>
      </c>
    </row>
    <row r="176" customFormat="false" ht="15" hidden="false" customHeight="true" outlineLevel="0" collapsed="false">
      <c r="A176" s="45" t="s">
        <v>489</v>
      </c>
      <c r="B176" s="45" t="n">
        <v>20</v>
      </c>
      <c r="C176" s="45" t="s">
        <v>288</v>
      </c>
      <c r="D176" s="46" t="s">
        <v>293</v>
      </c>
      <c r="E176" s="46" t="s">
        <v>282</v>
      </c>
      <c r="F176" s="47" t="s">
        <v>276</v>
      </c>
      <c r="G176" s="46" t="s">
        <v>343</v>
      </c>
      <c r="H176" s="48" t="n">
        <v>1300</v>
      </c>
      <c r="I176" s="45" t="n">
        <v>2015</v>
      </c>
      <c r="J176" s="45" t="n">
        <v>9</v>
      </c>
      <c r="K176" s="49" t="n">
        <v>24000</v>
      </c>
      <c r="L176" s="45" t="s">
        <v>285</v>
      </c>
      <c r="M176" s="50" t="n">
        <v>0.55</v>
      </c>
      <c r="N176" s="70" t="n">
        <v>19</v>
      </c>
      <c r="O176" s="65" t="s">
        <v>318</v>
      </c>
      <c r="P176" s="49" t="n">
        <v>1100</v>
      </c>
      <c r="Q176" s="49" t="n">
        <v>605</v>
      </c>
      <c r="R176" s="53" t="n">
        <v>0.3</v>
      </c>
      <c r="S176" s="49" t="n">
        <v>330</v>
      </c>
      <c r="T176" s="49" t="n">
        <v>825</v>
      </c>
      <c r="U176" s="51" t="n">
        <v>0</v>
      </c>
      <c r="V176" s="45" t="n">
        <v>2024</v>
      </c>
    </row>
    <row r="177" customFormat="false" ht="15" hidden="false" customHeight="true" outlineLevel="0" collapsed="false">
      <c r="A177" s="54" t="s">
        <v>490</v>
      </c>
      <c r="B177" s="54" t="n">
        <v>40</v>
      </c>
      <c r="C177" s="54" t="s">
        <v>273</v>
      </c>
      <c r="D177" s="55" t="s">
        <v>307</v>
      </c>
      <c r="E177" s="55" t="s">
        <v>275</v>
      </c>
      <c r="F177" s="56" t="s">
        <v>283</v>
      </c>
      <c r="G177" s="55" t="s">
        <v>349</v>
      </c>
      <c r="H177" s="57" t="n">
        <v>1498</v>
      </c>
      <c r="I177" s="54" t="n">
        <v>2024</v>
      </c>
      <c r="J177" s="54" t="n">
        <v>0</v>
      </c>
      <c r="K177" s="58" t="n">
        <v>48000</v>
      </c>
      <c r="L177" s="54" t="s">
        <v>285</v>
      </c>
      <c r="M177" s="59" t="n">
        <v>0.45</v>
      </c>
      <c r="N177" s="63" t="n">
        <v>7</v>
      </c>
      <c r="O177" s="66" t="s">
        <v>286</v>
      </c>
      <c r="P177" s="58" t="n">
        <v>2100</v>
      </c>
      <c r="Q177" s="58" t="n">
        <v>945</v>
      </c>
      <c r="R177" s="62" t="n">
        <v>0</v>
      </c>
      <c r="S177" s="58" t="n">
        <v>0</v>
      </c>
      <c r="T177" s="58" t="n">
        <v>1155</v>
      </c>
      <c r="U177" s="63" t="n">
        <v>0</v>
      </c>
      <c r="V177" s="54" t="n">
        <v>2024</v>
      </c>
    </row>
    <row r="178" customFormat="false" ht="15" hidden="false" customHeight="true" outlineLevel="0" collapsed="false">
      <c r="A178" s="45" t="s">
        <v>491</v>
      </c>
      <c r="B178" s="45" t="n">
        <v>30</v>
      </c>
      <c r="C178" s="45" t="s">
        <v>288</v>
      </c>
      <c r="D178" s="46" t="s">
        <v>309</v>
      </c>
      <c r="E178" s="46" t="s">
        <v>275</v>
      </c>
      <c r="F178" s="47" t="s">
        <v>302</v>
      </c>
      <c r="G178" s="46" t="s">
        <v>326</v>
      </c>
      <c r="H178" s="48" t="n">
        <v>1496</v>
      </c>
      <c r="I178" s="45" t="n">
        <v>2018</v>
      </c>
      <c r="J178" s="45" t="n">
        <v>6</v>
      </c>
      <c r="K178" s="49" t="n">
        <v>31000</v>
      </c>
      <c r="L178" s="45" t="s">
        <v>278</v>
      </c>
      <c r="M178" s="50" t="n">
        <v>0</v>
      </c>
      <c r="N178" s="51" t="n">
        <v>6</v>
      </c>
      <c r="O178" s="52" t="s">
        <v>286</v>
      </c>
      <c r="P178" s="49" t="n">
        <v>1700</v>
      </c>
      <c r="Q178" s="49" t="n">
        <v>0</v>
      </c>
      <c r="R178" s="53" t="n">
        <v>0</v>
      </c>
      <c r="S178" s="49" t="n">
        <v>0</v>
      </c>
      <c r="T178" s="49" t="n">
        <v>1700</v>
      </c>
      <c r="U178" s="51" t="n">
        <v>0</v>
      </c>
      <c r="V178" s="45" t="n">
        <v>2023</v>
      </c>
    </row>
    <row r="179" customFormat="false" ht="15" hidden="false" customHeight="true" outlineLevel="0" collapsed="false">
      <c r="A179" s="54" t="s">
        <v>492</v>
      </c>
      <c r="B179" s="54" t="n">
        <v>46</v>
      </c>
      <c r="C179" s="54" t="s">
        <v>273</v>
      </c>
      <c r="D179" s="55" t="s">
        <v>293</v>
      </c>
      <c r="E179" s="55" t="s">
        <v>275</v>
      </c>
      <c r="F179" s="56" t="s">
        <v>276</v>
      </c>
      <c r="G179" s="55" t="s">
        <v>359</v>
      </c>
      <c r="H179" s="57" t="n">
        <v>1500</v>
      </c>
      <c r="I179" s="54" t="n">
        <v>2024</v>
      </c>
      <c r="J179" s="54" t="n">
        <v>0</v>
      </c>
      <c r="K179" s="58" t="n">
        <v>55000</v>
      </c>
      <c r="L179" s="54" t="s">
        <v>285</v>
      </c>
      <c r="M179" s="59" t="n">
        <v>0.45</v>
      </c>
      <c r="N179" s="63" t="n">
        <v>5</v>
      </c>
      <c r="O179" s="66" t="s">
        <v>286</v>
      </c>
      <c r="P179" s="58" t="n">
        <v>2400</v>
      </c>
      <c r="Q179" s="58" t="n">
        <v>1080</v>
      </c>
      <c r="R179" s="62" t="n">
        <v>0</v>
      </c>
      <c r="S179" s="58" t="n">
        <v>0</v>
      </c>
      <c r="T179" s="58" t="n">
        <v>1320</v>
      </c>
      <c r="U179" s="63" t="n">
        <v>0</v>
      </c>
      <c r="V179" s="54" t="n">
        <v>2023</v>
      </c>
    </row>
    <row r="180" customFormat="false" ht="15" hidden="false" customHeight="true" outlineLevel="0" collapsed="false">
      <c r="A180" s="45" t="s">
        <v>493</v>
      </c>
      <c r="B180" s="45" t="n">
        <v>28</v>
      </c>
      <c r="C180" s="45" t="s">
        <v>273</v>
      </c>
      <c r="D180" s="46" t="s">
        <v>307</v>
      </c>
      <c r="E180" s="46" t="s">
        <v>294</v>
      </c>
      <c r="F180" s="47" t="s">
        <v>276</v>
      </c>
      <c r="G180" s="46" t="s">
        <v>343</v>
      </c>
      <c r="H180" s="48" t="n">
        <v>1300</v>
      </c>
      <c r="I180" s="45" t="n">
        <v>2021</v>
      </c>
      <c r="J180" s="45" t="n">
        <v>3</v>
      </c>
      <c r="K180" s="49" t="n">
        <v>23000</v>
      </c>
      <c r="L180" s="45" t="s">
        <v>285</v>
      </c>
      <c r="M180" s="50" t="n">
        <v>0.55</v>
      </c>
      <c r="N180" s="64" t="n">
        <v>12</v>
      </c>
      <c r="O180" s="65" t="s">
        <v>279</v>
      </c>
      <c r="P180" s="49" t="n">
        <v>1000</v>
      </c>
      <c r="Q180" s="49" t="n">
        <v>550</v>
      </c>
      <c r="R180" s="53" t="n">
        <v>0</v>
      </c>
      <c r="S180" s="49" t="n">
        <v>0</v>
      </c>
      <c r="T180" s="49" t="n">
        <v>450</v>
      </c>
      <c r="U180" s="51" t="n">
        <v>0</v>
      </c>
      <c r="V180" s="45" t="n">
        <v>2024</v>
      </c>
    </row>
    <row r="181" customFormat="false" ht="15" hidden="false" customHeight="true" outlineLevel="0" collapsed="false">
      <c r="A181" s="54" t="s">
        <v>494</v>
      </c>
      <c r="B181" s="54" t="n">
        <v>48</v>
      </c>
      <c r="C181" s="54" t="s">
        <v>273</v>
      </c>
      <c r="D181" s="55" t="s">
        <v>307</v>
      </c>
      <c r="E181" s="55" t="s">
        <v>275</v>
      </c>
      <c r="F181" s="56" t="s">
        <v>276</v>
      </c>
      <c r="G181" s="55" t="s">
        <v>277</v>
      </c>
      <c r="H181" s="57" t="n">
        <v>1300</v>
      </c>
      <c r="I181" s="54" t="n">
        <v>2023</v>
      </c>
      <c r="J181" s="54" t="n">
        <v>1</v>
      </c>
      <c r="K181" s="58" t="n">
        <v>25000</v>
      </c>
      <c r="L181" s="54" t="s">
        <v>278</v>
      </c>
      <c r="M181" s="59" t="n">
        <v>0.55</v>
      </c>
      <c r="N181" s="60" t="n">
        <v>9</v>
      </c>
      <c r="O181" s="61" t="s">
        <v>279</v>
      </c>
      <c r="P181" s="58" t="n">
        <v>1400</v>
      </c>
      <c r="Q181" s="58" t="n">
        <v>770</v>
      </c>
      <c r="R181" s="62" t="n">
        <v>0</v>
      </c>
      <c r="S181" s="58" t="n">
        <v>0</v>
      </c>
      <c r="T181" s="58" t="n">
        <v>630</v>
      </c>
      <c r="U181" s="63" t="n">
        <v>0</v>
      </c>
      <c r="V181" s="54" t="n">
        <v>2024</v>
      </c>
    </row>
    <row r="182" customFormat="false" ht="15" hidden="false" customHeight="true" outlineLevel="0" collapsed="false">
      <c r="A182" s="45" t="s">
        <v>495</v>
      </c>
      <c r="B182" s="45" t="n">
        <v>35</v>
      </c>
      <c r="C182" s="45" t="s">
        <v>288</v>
      </c>
      <c r="D182" s="46" t="s">
        <v>281</v>
      </c>
      <c r="E182" s="46" t="s">
        <v>275</v>
      </c>
      <c r="F182" s="47" t="s">
        <v>496</v>
      </c>
      <c r="G182" s="46" t="s">
        <v>497</v>
      </c>
      <c r="H182" s="48" t="n">
        <v>1991</v>
      </c>
      <c r="I182" s="45" t="n">
        <v>2019</v>
      </c>
      <c r="J182" s="45" t="n">
        <v>5</v>
      </c>
      <c r="K182" s="49" t="n">
        <v>111000</v>
      </c>
      <c r="L182" s="45" t="s">
        <v>285</v>
      </c>
      <c r="M182" s="50" t="n">
        <v>0.3833</v>
      </c>
      <c r="N182" s="64" t="n">
        <v>13</v>
      </c>
      <c r="O182" s="65" t="s">
        <v>279</v>
      </c>
      <c r="P182" s="49" t="n">
        <v>5600</v>
      </c>
      <c r="Q182" s="49" t="n">
        <v>2146</v>
      </c>
      <c r="R182" s="53" t="n">
        <v>0</v>
      </c>
      <c r="S182" s="49" t="n">
        <v>0</v>
      </c>
      <c r="T182" s="49" t="n">
        <v>3454</v>
      </c>
      <c r="U182" s="51" t="n">
        <v>0</v>
      </c>
      <c r="V182" s="45" t="n">
        <v>2022</v>
      </c>
    </row>
    <row r="183" customFormat="false" ht="15" hidden="false" customHeight="true" outlineLevel="0" collapsed="false">
      <c r="A183" s="54" t="s">
        <v>498</v>
      </c>
      <c r="B183" s="54" t="n">
        <v>63</v>
      </c>
      <c r="C183" s="54" t="s">
        <v>273</v>
      </c>
      <c r="D183" s="55" t="s">
        <v>274</v>
      </c>
      <c r="E183" s="55" t="s">
        <v>294</v>
      </c>
      <c r="F183" s="56" t="s">
        <v>276</v>
      </c>
      <c r="G183" s="55" t="s">
        <v>314</v>
      </c>
      <c r="H183" s="57" t="n">
        <v>850</v>
      </c>
      <c r="I183" s="54" t="n">
        <v>2022</v>
      </c>
      <c r="J183" s="54" t="n">
        <v>2</v>
      </c>
      <c r="K183" s="58" t="n">
        <v>18000</v>
      </c>
      <c r="L183" s="54" t="s">
        <v>285</v>
      </c>
      <c r="M183" s="59" t="n">
        <v>0.25</v>
      </c>
      <c r="N183" s="60" t="n">
        <v>13</v>
      </c>
      <c r="O183" s="61" t="s">
        <v>279</v>
      </c>
      <c r="P183" s="58" t="n">
        <v>800</v>
      </c>
      <c r="Q183" s="58" t="n">
        <v>200</v>
      </c>
      <c r="R183" s="62" t="n">
        <v>0</v>
      </c>
      <c r="S183" s="58" t="n">
        <v>0</v>
      </c>
      <c r="T183" s="58" t="n">
        <v>600</v>
      </c>
      <c r="U183" s="63" t="n">
        <v>0</v>
      </c>
      <c r="V183" s="54" t="n">
        <v>2023</v>
      </c>
    </row>
    <row r="184" customFormat="false" ht="15" hidden="false" customHeight="true" outlineLevel="0" collapsed="false">
      <c r="A184" s="35" t="s">
        <v>499</v>
      </c>
      <c r="B184" s="35" t="n">
        <v>26</v>
      </c>
      <c r="C184" s="35" t="s">
        <v>273</v>
      </c>
      <c r="D184" s="36" t="s">
        <v>274</v>
      </c>
      <c r="E184" s="36" t="s">
        <v>282</v>
      </c>
      <c r="F184" s="37" t="s">
        <v>283</v>
      </c>
      <c r="G184" s="36" t="s">
        <v>284</v>
      </c>
      <c r="H184" s="38" t="n">
        <v>1332</v>
      </c>
      <c r="I184" s="35" t="n">
        <v>2018</v>
      </c>
      <c r="J184" s="35" t="n">
        <v>6</v>
      </c>
      <c r="K184" s="39" t="n">
        <v>15000</v>
      </c>
      <c r="L184" s="35" t="s">
        <v>278</v>
      </c>
      <c r="M184" s="40" t="n">
        <v>0.25</v>
      </c>
      <c r="N184" s="41" t="n">
        <v>11</v>
      </c>
      <c r="O184" s="42" t="s">
        <v>279</v>
      </c>
      <c r="P184" s="39" t="n">
        <v>800</v>
      </c>
      <c r="Q184" s="39" t="n">
        <v>200</v>
      </c>
      <c r="R184" s="43" t="n">
        <v>0</v>
      </c>
      <c r="S184" s="39" t="n">
        <v>0</v>
      </c>
      <c r="T184" s="39" t="n">
        <v>600</v>
      </c>
      <c r="U184" s="44" t="n">
        <v>1</v>
      </c>
      <c r="V184" s="35" t="n">
        <v>2023</v>
      </c>
    </row>
    <row r="185" customFormat="false" ht="15" hidden="false" customHeight="true" outlineLevel="0" collapsed="false">
      <c r="A185" s="54" t="s">
        <v>500</v>
      </c>
      <c r="B185" s="54" t="n">
        <v>34</v>
      </c>
      <c r="C185" s="54" t="s">
        <v>273</v>
      </c>
      <c r="D185" s="55" t="s">
        <v>309</v>
      </c>
      <c r="E185" s="55" t="s">
        <v>289</v>
      </c>
      <c r="F185" s="56" t="s">
        <v>298</v>
      </c>
      <c r="G185" s="55" t="s">
        <v>299</v>
      </c>
      <c r="H185" s="57" t="n">
        <v>1496</v>
      </c>
      <c r="I185" s="54" t="n">
        <v>2015</v>
      </c>
      <c r="J185" s="54" t="n">
        <v>9</v>
      </c>
      <c r="K185" s="58" t="n">
        <v>73000</v>
      </c>
      <c r="L185" s="54" t="s">
        <v>278</v>
      </c>
      <c r="M185" s="59" t="n">
        <v>0.25</v>
      </c>
      <c r="N185" s="69" t="n">
        <v>17</v>
      </c>
      <c r="O185" s="61" t="s">
        <v>318</v>
      </c>
      <c r="P185" s="58" t="n">
        <v>4000</v>
      </c>
      <c r="Q185" s="58" t="n">
        <v>1000</v>
      </c>
      <c r="R185" s="62" t="n">
        <v>0</v>
      </c>
      <c r="S185" s="58" t="n">
        <v>0</v>
      </c>
      <c r="T185" s="58" t="n">
        <v>3000</v>
      </c>
      <c r="U185" s="63" t="n">
        <v>0</v>
      </c>
      <c r="V185" s="54" t="n">
        <v>2023</v>
      </c>
    </row>
    <row r="186" customFormat="false" ht="15" hidden="false" customHeight="true" outlineLevel="0" collapsed="false">
      <c r="A186" s="45" t="s">
        <v>501</v>
      </c>
      <c r="B186" s="45" t="n">
        <v>26</v>
      </c>
      <c r="C186" s="45" t="s">
        <v>288</v>
      </c>
      <c r="D186" s="46" t="s">
        <v>307</v>
      </c>
      <c r="E186" s="46" t="s">
        <v>322</v>
      </c>
      <c r="F186" s="47" t="s">
        <v>276</v>
      </c>
      <c r="G186" s="46" t="s">
        <v>277</v>
      </c>
      <c r="H186" s="48" t="n">
        <v>1300</v>
      </c>
      <c r="I186" s="45" t="n">
        <v>2019</v>
      </c>
      <c r="J186" s="45" t="n">
        <v>5</v>
      </c>
      <c r="K186" s="49" t="n">
        <v>33000</v>
      </c>
      <c r="L186" s="45" t="s">
        <v>278</v>
      </c>
      <c r="M186" s="50" t="n">
        <v>0</v>
      </c>
      <c r="N186" s="70" t="n">
        <v>17</v>
      </c>
      <c r="O186" s="65" t="s">
        <v>318</v>
      </c>
      <c r="P186" s="49" t="n">
        <v>1800</v>
      </c>
      <c r="Q186" s="49" t="n">
        <v>0</v>
      </c>
      <c r="R186" s="53" t="n">
        <v>0</v>
      </c>
      <c r="S186" s="49" t="n">
        <v>0</v>
      </c>
      <c r="T186" s="49" t="n">
        <v>1800</v>
      </c>
      <c r="U186" s="51" t="n">
        <v>0</v>
      </c>
      <c r="V186" s="45" t="n">
        <v>2024</v>
      </c>
    </row>
    <row r="187" customFormat="false" ht="15" hidden="false" customHeight="true" outlineLevel="0" collapsed="false">
      <c r="A187" s="54" t="s">
        <v>502</v>
      </c>
      <c r="B187" s="54" t="n">
        <v>61</v>
      </c>
      <c r="C187" s="54" t="s">
        <v>273</v>
      </c>
      <c r="D187" s="55" t="s">
        <v>305</v>
      </c>
      <c r="E187" s="55" t="s">
        <v>289</v>
      </c>
      <c r="F187" s="56" t="s">
        <v>302</v>
      </c>
      <c r="G187" s="55" t="s">
        <v>303</v>
      </c>
      <c r="H187" s="57" t="n">
        <v>1498</v>
      </c>
      <c r="I187" s="54" t="n">
        <v>2017</v>
      </c>
      <c r="J187" s="54" t="n">
        <v>7</v>
      </c>
      <c r="K187" s="58" t="n">
        <v>112000</v>
      </c>
      <c r="L187" s="54" t="s">
        <v>285</v>
      </c>
      <c r="M187" s="59" t="n">
        <v>0.55</v>
      </c>
      <c r="N187" s="60" t="n">
        <v>14</v>
      </c>
      <c r="O187" s="61" t="s">
        <v>279</v>
      </c>
      <c r="P187" s="58" t="n">
        <v>4900</v>
      </c>
      <c r="Q187" s="58" t="n">
        <v>2695</v>
      </c>
      <c r="R187" s="62" t="n">
        <v>0</v>
      </c>
      <c r="S187" s="58" t="n">
        <v>0</v>
      </c>
      <c r="T187" s="58" t="n">
        <v>2205</v>
      </c>
      <c r="U187" s="63" t="n">
        <v>0</v>
      </c>
      <c r="V187" s="54" t="n">
        <v>2024</v>
      </c>
    </row>
    <row r="188" customFormat="false" ht="15" hidden="false" customHeight="true" outlineLevel="0" collapsed="false">
      <c r="A188" s="45" t="s">
        <v>503</v>
      </c>
      <c r="B188" s="45" t="n">
        <v>57</v>
      </c>
      <c r="C188" s="45" t="s">
        <v>273</v>
      </c>
      <c r="D188" s="46" t="s">
        <v>305</v>
      </c>
      <c r="E188" s="46" t="s">
        <v>289</v>
      </c>
      <c r="F188" s="47" t="s">
        <v>283</v>
      </c>
      <c r="G188" s="46" t="s">
        <v>284</v>
      </c>
      <c r="H188" s="48" t="n">
        <v>1332</v>
      </c>
      <c r="I188" s="45" t="n">
        <v>2016</v>
      </c>
      <c r="J188" s="45" t="n">
        <v>8</v>
      </c>
      <c r="K188" s="49" t="n">
        <v>34000</v>
      </c>
      <c r="L188" s="45" t="s">
        <v>285</v>
      </c>
      <c r="M188" s="50" t="n">
        <v>0.3833</v>
      </c>
      <c r="N188" s="70" t="n">
        <v>17</v>
      </c>
      <c r="O188" s="65" t="s">
        <v>318</v>
      </c>
      <c r="P188" s="49" t="n">
        <v>1500</v>
      </c>
      <c r="Q188" s="49" t="n">
        <v>575</v>
      </c>
      <c r="R188" s="53" t="n">
        <v>0</v>
      </c>
      <c r="S188" s="49" t="n">
        <v>0</v>
      </c>
      <c r="T188" s="49" t="n">
        <v>925</v>
      </c>
      <c r="U188" s="51" t="n">
        <v>0</v>
      </c>
      <c r="V188" s="45" t="n">
        <v>2023</v>
      </c>
    </row>
    <row r="189" customFormat="false" ht="15" hidden="false" customHeight="true" outlineLevel="0" collapsed="false">
      <c r="A189" s="35" t="s">
        <v>504</v>
      </c>
      <c r="B189" s="35" t="n">
        <v>31</v>
      </c>
      <c r="C189" s="35" t="s">
        <v>273</v>
      </c>
      <c r="D189" s="36" t="s">
        <v>305</v>
      </c>
      <c r="E189" s="36" t="s">
        <v>301</v>
      </c>
      <c r="F189" s="37" t="s">
        <v>276</v>
      </c>
      <c r="G189" s="36" t="s">
        <v>277</v>
      </c>
      <c r="H189" s="38" t="n">
        <v>1300</v>
      </c>
      <c r="I189" s="35" t="n">
        <v>2016</v>
      </c>
      <c r="J189" s="35" t="n">
        <v>8</v>
      </c>
      <c r="K189" s="39" t="n">
        <v>25000</v>
      </c>
      <c r="L189" s="35" t="s">
        <v>285</v>
      </c>
      <c r="M189" s="40" t="n">
        <v>0.45</v>
      </c>
      <c r="N189" s="41" t="n">
        <v>9</v>
      </c>
      <c r="O189" s="42" t="s">
        <v>279</v>
      </c>
      <c r="P189" s="39" t="n">
        <v>1100</v>
      </c>
      <c r="Q189" s="39" t="n">
        <v>495</v>
      </c>
      <c r="R189" s="43" t="n">
        <v>0</v>
      </c>
      <c r="S189" s="39" t="n">
        <v>0</v>
      </c>
      <c r="T189" s="39" t="n">
        <v>605</v>
      </c>
      <c r="U189" s="44" t="n">
        <v>1</v>
      </c>
      <c r="V189" s="35" t="n">
        <v>2023</v>
      </c>
    </row>
    <row r="190" customFormat="false" ht="15" hidden="false" customHeight="true" outlineLevel="0" collapsed="false">
      <c r="A190" s="45" t="s">
        <v>505</v>
      </c>
      <c r="B190" s="45" t="n">
        <v>47</v>
      </c>
      <c r="C190" s="45" t="s">
        <v>273</v>
      </c>
      <c r="D190" s="46" t="s">
        <v>307</v>
      </c>
      <c r="E190" s="46" t="s">
        <v>322</v>
      </c>
      <c r="F190" s="47" t="s">
        <v>276</v>
      </c>
      <c r="G190" s="46" t="s">
        <v>314</v>
      </c>
      <c r="H190" s="48" t="n">
        <v>850</v>
      </c>
      <c r="I190" s="45" t="n">
        <v>2021</v>
      </c>
      <c r="J190" s="45" t="n">
        <v>3</v>
      </c>
      <c r="K190" s="49" t="n">
        <v>20000</v>
      </c>
      <c r="L190" s="45" t="s">
        <v>285</v>
      </c>
      <c r="M190" s="50" t="n">
        <v>0</v>
      </c>
      <c r="N190" s="64" t="n">
        <v>14</v>
      </c>
      <c r="O190" s="65" t="s">
        <v>279</v>
      </c>
      <c r="P190" s="49" t="n">
        <v>800</v>
      </c>
      <c r="Q190" s="49" t="n">
        <v>0</v>
      </c>
      <c r="R190" s="53" t="n">
        <v>0</v>
      </c>
      <c r="S190" s="49" t="n">
        <v>0</v>
      </c>
      <c r="T190" s="49" t="n">
        <v>800</v>
      </c>
      <c r="U190" s="51" t="n">
        <v>0</v>
      </c>
      <c r="V190" s="45" t="n">
        <v>2022</v>
      </c>
    </row>
    <row r="191" customFormat="false" ht="15" hidden="false" customHeight="true" outlineLevel="0" collapsed="false">
      <c r="A191" s="54" t="s">
        <v>506</v>
      </c>
      <c r="B191" s="54" t="n">
        <v>54</v>
      </c>
      <c r="C191" s="54" t="s">
        <v>288</v>
      </c>
      <c r="D191" s="55" t="s">
        <v>281</v>
      </c>
      <c r="E191" s="55" t="s">
        <v>275</v>
      </c>
      <c r="F191" s="56" t="s">
        <v>276</v>
      </c>
      <c r="G191" s="55" t="s">
        <v>277</v>
      </c>
      <c r="H191" s="57" t="n">
        <v>1300</v>
      </c>
      <c r="I191" s="54" t="n">
        <v>2018</v>
      </c>
      <c r="J191" s="54" t="n">
        <v>6</v>
      </c>
      <c r="K191" s="58" t="n">
        <v>28000</v>
      </c>
      <c r="L191" s="54" t="s">
        <v>285</v>
      </c>
      <c r="M191" s="59" t="n">
        <v>0.3</v>
      </c>
      <c r="N191" s="60" t="n">
        <v>15</v>
      </c>
      <c r="O191" s="61" t="s">
        <v>279</v>
      </c>
      <c r="P191" s="58" t="n">
        <v>1200</v>
      </c>
      <c r="Q191" s="58" t="n">
        <v>360</v>
      </c>
      <c r="R191" s="62" t="n">
        <v>0</v>
      </c>
      <c r="S191" s="58" t="n">
        <v>0</v>
      </c>
      <c r="T191" s="58" t="n">
        <v>840</v>
      </c>
      <c r="U191" s="63" t="n">
        <v>0</v>
      </c>
      <c r="V191" s="54" t="n">
        <v>2022</v>
      </c>
    </row>
    <row r="192" customFormat="false" ht="15" hidden="false" customHeight="true" outlineLevel="0" collapsed="false">
      <c r="A192" s="45" t="s">
        <v>507</v>
      </c>
      <c r="B192" s="45" t="n">
        <v>42</v>
      </c>
      <c r="C192" s="45" t="s">
        <v>273</v>
      </c>
      <c r="D192" s="46" t="s">
        <v>307</v>
      </c>
      <c r="E192" s="46" t="s">
        <v>383</v>
      </c>
      <c r="F192" s="47" t="s">
        <v>276</v>
      </c>
      <c r="G192" s="46" t="s">
        <v>314</v>
      </c>
      <c r="H192" s="48" t="n">
        <v>850</v>
      </c>
      <c r="I192" s="45" t="n">
        <v>2016</v>
      </c>
      <c r="J192" s="45" t="n">
        <v>8</v>
      </c>
      <c r="K192" s="49" t="n">
        <v>16000</v>
      </c>
      <c r="L192" s="45" t="s">
        <v>285</v>
      </c>
      <c r="M192" s="50" t="n">
        <v>0.45</v>
      </c>
      <c r="N192" s="64" t="n">
        <v>10</v>
      </c>
      <c r="O192" s="65" t="s">
        <v>279</v>
      </c>
      <c r="P192" s="49" t="n">
        <v>800</v>
      </c>
      <c r="Q192" s="49" t="n">
        <v>360</v>
      </c>
      <c r="R192" s="53" t="n">
        <v>0</v>
      </c>
      <c r="S192" s="49" t="n">
        <v>0</v>
      </c>
      <c r="T192" s="49" t="n">
        <v>440</v>
      </c>
      <c r="U192" s="51" t="n">
        <v>0</v>
      </c>
      <c r="V192" s="45" t="n">
        <v>2024</v>
      </c>
    </row>
    <row r="193" customFormat="false" ht="15" hidden="false" customHeight="true" outlineLevel="0" collapsed="false">
      <c r="A193" s="54" t="s">
        <v>508</v>
      </c>
      <c r="B193" s="54" t="n">
        <v>41</v>
      </c>
      <c r="C193" s="54" t="s">
        <v>273</v>
      </c>
      <c r="D193" s="55" t="s">
        <v>293</v>
      </c>
      <c r="E193" s="55" t="s">
        <v>275</v>
      </c>
      <c r="F193" s="56" t="s">
        <v>290</v>
      </c>
      <c r="G193" s="55" t="s">
        <v>291</v>
      </c>
      <c r="H193" s="57" t="n">
        <v>1498</v>
      </c>
      <c r="I193" s="54" t="n">
        <v>2022</v>
      </c>
      <c r="J193" s="54" t="n">
        <v>2</v>
      </c>
      <c r="K193" s="58" t="n">
        <v>29000</v>
      </c>
      <c r="L193" s="54" t="s">
        <v>285</v>
      </c>
      <c r="M193" s="59" t="n">
        <v>0.45</v>
      </c>
      <c r="N193" s="60" t="n">
        <v>11</v>
      </c>
      <c r="O193" s="61" t="s">
        <v>279</v>
      </c>
      <c r="P193" s="58" t="n">
        <v>1300</v>
      </c>
      <c r="Q193" s="58" t="n">
        <v>585</v>
      </c>
      <c r="R193" s="62" t="n">
        <v>0</v>
      </c>
      <c r="S193" s="58" t="n">
        <v>0</v>
      </c>
      <c r="T193" s="58" t="n">
        <v>715</v>
      </c>
      <c r="U193" s="63" t="n">
        <v>0</v>
      </c>
      <c r="V193" s="54" t="n">
        <v>2023</v>
      </c>
    </row>
    <row r="194" customFormat="false" ht="15" hidden="false" customHeight="true" outlineLevel="0" collapsed="false">
      <c r="A194" s="45" t="s">
        <v>509</v>
      </c>
      <c r="B194" s="45" t="n">
        <v>30</v>
      </c>
      <c r="C194" s="45" t="s">
        <v>288</v>
      </c>
      <c r="D194" s="46" t="s">
        <v>309</v>
      </c>
      <c r="E194" s="46" t="s">
        <v>312</v>
      </c>
      <c r="F194" s="47" t="s">
        <v>298</v>
      </c>
      <c r="G194" s="46" t="s">
        <v>299</v>
      </c>
      <c r="H194" s="48" t="n">
        <v>1496</v>
      </c>
      <c r="I194" s="45" t="n">
        <v>2024</v>
      </c>
      <c r="J194" s="45" t="n">
        <v>0</v>
      </c>
      <c r="K194" s="49" t="n">
        <v>69000</v>
      </c>
      <c r="L194" s="45" t="s">
        <v>285</v>
      </c>
      <c r="M194" s="50" t="n">
        <v>0.3833</v>
      </c>
      <c r="N194" s="64" t="n">
        <v>10</v>
      </c>
      <c r="O194" s="65" t="s">
        <v>279</v>
      </c>
      <c r="P194" s="49" t="n">
        <v>3000</v>
      </c>
      <c r="Q194" s="49" t="n">
        <v>1150</v>
      </c>
      <c r="R194" s="53" t="n">
        <v>0</v>
      </c>
      <c r="S194" s="49" t="n">
        <v>0</v>
      </c>
      <c r="T194" s="49" t="n">
        <v>1850</v>
      </c>
      <c r="U194" s="51" t="n">
        <v>0</v>
      </c>
      <c r="V194" s="45" t="n">
        <v>2023</v>
      </c>
    </row>
    <row r="195" customFormat="false" ht="15" hidden="false" customHeight="true" outlineLevel="0" collapsed="false">
      <c r="A195" s="54" t="s">
        <v>510</v>
      </c>
      <c r="B195" s="54" t="n">
        <v>25</v>
      </c>
      <c r="C195" s="54" t="s">
        <v>273</v>
      </c>
      <c r="D195" s="55" t="s">
        <v>274</v>
      </c>
      <c r="E195" s="55" t="s">
        <v>282</v>
      </c>
      <c r="F195" s="56" t="s">
        <v>276</v>
      </c>
      <c r="G195" s="55" t="s">
        <v>359</v>
      </c>
      <c r="H195" s="57" t="n">
        <v>1500</v>
      </c>
      <c r="I195" s="54" t="n">
        <v>2024</v>
      </c>
      <c r="J195" s="54" t="n">
        <v>0</v>
      </c>
      <c r="K195" s="58" t="n">
        <v>41000</v>
      </c>
      <c r="L195" s="54" t="s">
        <v>285</v>
      </c>
      <c r="M195" s="59" t="n">
        <v>0.55</v>
      </c>
      <c r="N195" s="60" t="n">
        <v>14</v>
      </c>
      <c r="O195" s="61" t="s">
        <v>279</v>
      </c>
      <c r="P195" s="58" t="n">
        <v>1800</v>
      </c>
      <c r="Q195" s="58" t="n">
        <v>990</v>
      </c>
      <c r="R195" s="62" t="n">
        <v>0</v>
      </c>
      <c r="S195" s="58" t="n">
        <v>0</v>
      </c>
      <c r="T195" s="58" t="n">
        <v>810</v>
      </c>
      <c r="U195" s="63" t="n">
        <v>0</v>
      </c>
      <c r="V195" s="54" t="n">
        <v>2022</v>
      </c>
    </row>
    <row r="196" customFormat="false" ht="15" hidden="false" customHeight="true" outlineLevel="0" collapsed="false">
      <c r="A196" s="45" t="s">
        <v>511</v>
      </c>
      <c r="B196" s="45" t="n">
        <v>59</v>
      </c>
      <c r="C196" s="45" t="s">
        <v>288</v>
      </c>
      <c r="D196" s="46" t="s">
        <v>293</v>
      </c>
      <c r="E196" s="46" t="s">
        <v>336</v>
      </c>
      <c r="F196" s="47" t="s">
        <v>276</v>
      </c>
      <c r="G196" s="46" t="s">
        <v>343</v>
      </c>
      <c r="H196" s="48" t="n">
        <v>1300</v>
      </c>
      <c r="I196" s="45" t="n">
        <v>2015</v>
      </c>
      <c r="J196" s="45" t="n">
        <v>9</v>
      </c>
      <c r="K196" s="49" t="n">
        <v>26000</v>
      </c>
      <c r="L196" s="45" t="s">
        <v>285</v>
      </c>
      <c r="M196" s="50" t="n">
        <v>0.3833</v>
      </c>
      <c r="N196" s="51" t="n">
        <v>7</v>
      </c>
      <c r="O196" s="52" t="s">
        <v>286</v>
      </c>
      <c r="P196" s="49" t="n">
        <v>1100</v>
      </c>
      <c r="Q196" s="49" t="n">
        <v>422</v>
      </c>
      <c r="R196" s="53" t="n">
        <v>0</v>
      </c>
      <c r="S196" s="49" t="n">
        <v>0</v>
      </c>
      <c r="T196" s="49" t="n">
        <v>678</v>
      </c>
      <c r="U196" s="51" t="n">
        <v>0</v>
      </c>
      <c r="V196" s="45" t="n">
        <v>2024</v>
      </c>
    </row>
    <row r="197" customFormat="false" ht="15" hidden="false" customHeight="true" outlineLevel="0" collapsed="false">
      <c r="A197" s="54" t="s">
        <v>512</v>
      </c>
      <c r="B197" s="54" t="n">
        <v>59</v>
      </c>
      <c r="C197" s="54" t="s">
        <v>273</v>
      </c>
      <c r="D197" s="55" t="s">
        <v>309</v>
      </c>
      <c r="E197" s="55" t="s">
        <v>275</v>
      </c>
      <c r="F197" s="56" t="s">
        <v>298</v>
      </c>
      <c r="G197" s="55" t="s">
        <v>323</v>
      </c>
      <c r="H197" s="57" t="n">
        <v>2494</v>
      </c>
      <c r="I197" s="54" t="n">
        <v>2018</v>
      </c>
      <c r="J197" s="54" t="n">
        <v>6</v>
      </c>
      <c r="K197" s="58" t="n">
        <v>114000</v>
      </c>
      <c r="L197" s="54" t="s">
        <v>285</v>
      </c>
      <c r="M197" s="59" t="n">
        <v>0.3</v>
      </c>
      <c r="N197" s="60" t="n">
        <v>9</v>
      </c>
      <c r="O197" s="61" t="s">
        <v>279</v>
      </c>
      <c r="P197" s="58" t="n">
        <v>6300</v>
      </c>
      <c r="Q197" s="58" t="n">
        <v>1890</v>
      </c>
      <c r="R197" s="62" t="n">
        <v>0</v>
      </c>
      <c r="S197" s="58" t="n">
        <v>0</v>
      </c>
      <c r="T197" s="58" t="n">
        <v>4410</v>
      </c>
      <c r="U197" s="63" t="n">
        <v>0</v>
      </c>
      <c r="V197" s="54" t="n">
        <v>2022</v>
      </c>
    </row>
    <row r="198" customFormat="false" ht="15" hidden="false" customHeight="true" outlineLevel="0" collapsed="false">
      <c r="A198" s="45" t="s">
        <v>513</v>
      </c>
      <c r="B198" s="45" t="n">
        <v>45</v>
      </c>
      <c r="C198" s="45" t="s">
        <v>273</v>
      </c>
      <c r="D198" s="46" t="s">
        <v>330</v>
      </c>
      <c r="E198" s="46" t="s">
        <v>301</v>
      </c>
      <c r="F198" s="47" t="s">
        <v>276</v>
      </c>
      <c r="G198" s="46" t="s">
        <v>277</v>
      </c>
      <c r="H198" s="48" t="n">
        <v>1300</v>
      </c>
      <c r="I198" s="45" t="n">
        <v>2017</v>
      </c>
      <c r="J198" s="45" t="n">
        <v>7</v>
      </c>
      <c r="K198" s="49" t="n">
        <v>36000</v>
      </c>
      <c r="L198" s="45" t="s">
        <v>285</v>
      </c>
      <c r="M198" s="50" t="n">
        <v>0.55</v>
      </c>
      <c r="N198" s="64" t="n">
        <v>16</v>
      </c>
      <c r="O198" s="65" t="s">
        <v>279</v>
      </c>
      <c r="P198" s="49" t="n">
        <v>1600</v>
      </c>
      <c r="Q198" s="49" t="n">
        <v>880</v>
      </c>
      <c r="R198" s="53" t="n">
        <v>0</v>
      </c>
      <c r="S198" s="49" t="n">
        <v>0</v>
      </c>
      <c r="T198" s="49" t="n">
        <v>720</v>
      </c>
      <c r="U198" s="51" t="n">
        <v>0</v>
      </c>
      <c r="V198" s="45" t="n">
        <v>2023</v>
      </c>
    </row>
    <row r="199" customFormat="false" ht="15" hidden="false" customHeight="true" outlineLevel="0" collapsed="false">
      <c r="A199" s="54" t="s">
        <v>514</v>
      </c>
      <c r="B199" s="54" t="n">
        <v>34</v>
      </c>
      <c r="C199" s="54" t="s">
        <v>288</v>
      </c>
      <c r="D199" s="55" t="s">
        <v>293</v>
      </c>
      <c r="E199" s="55" t="s">
        <v>336</v>
      </c>
      <c r="F199" s="56" t="s">
        <v>276</v>
      </c>
      <c r="G199" s="55" t="s">
        <v>277</v>
      </c>
      <c r="H199" s="57" t="n">
        <v>1300</v>
      </c>
      <c r="I199" s="54" t="n">
        <v>2016</v>
      </c>
      <c r="J199" s="54" t="n">
        <v>8</v>
      </c>
      <c r="K199" s="58" t="n">
        <v>34000</v>
      </c>
      <c r="L199" s="54" t="s">
        <v>285</v>
      </c>
      <c r="M199" s="59" t="n">
        <v>0.3833</v>
      </c>
      <c r="N199" s="69" t="n">
        <v>17</v>
      </c>
      <c r="O199" s="61" t="s">
        <v>318</v>
      </c>
      <c r="P199" s="58" t="n">
        <v>1500</v>
      </c>
      <c r="Q199" s="58" t="n">
        <v>575</v>
      </c>
      <c r="R199" s="62" t="n">
        <v>0</v>
      </c>
      <c r="S199" s="58" t="n">
        <v>0</v>
      </c>
      <c r="T199" s="58" t="n">
        <v>925</v>
      </c>
      <c r="U199" s="63" t="n">
        <v>0</v>
      </c>
      <c r="V199" s="54" t="n">
        <v>2022</v>
      </c>
    </row>
    <row r="200" customFormat="false" ht="15" hidden="false" customHeight="true" outlineLevel="0" collapsed="false">
      <c r="A200" s="45" t="s">
        <v>515</v>
      </c>
      <c r="B200" s="45" t="n">
        <v>34</v>
      </c>
      <c r="C200" s="45" t="s">
        <v>273</v>
      </c>
      <c r="D200" s="46" t="s">
        <v>330</v>
      </c>
      <c r="E200" s="46" t="s">
        <v>275</v>
      </c>
      <c r="F200" s="47" t="s">
        <v>276</v>
      </c>
      <c r="G200" s="46" t="s">
        <v>314</v>
      </c>
      <c r="H200" s="48" t="n">
        <v>850</v>
      </c>
      <c r="I200" s="45" t="n">
        <v>2018</v>
      </c>
      <c r="J200" s="45" t="n">
        <v>6</v>
      </c>
      <c r="K200" s="49" t="n">
        <v>20000</v>
      </c>
      <c r="L200" s="45" t="s">
        <v>285</v>
      </c>
      <c r="M200" s="50" t="n">
        <v>0.55</v>
      </c>
      <c r="N200" s="64" t="n">
        <v>12</v>
      </c>
      <c r="O200" s="65" t="s">
        <v>279</v>
      </c>
      <c r="P200" s="49" t="n">
        <v>800</v>
      </c>
      <c r="Q200" s="49" t="n">
        <v>440</v>
      </c>
      <c r="R200" s="53" t="n">
        <v>0</v>
      </c>
      <c r="S200" s="49" t="n">
        <v>0</v>
      </c>
      <c r="T200" s="49" t="n">
        <v>360</v>
      </c>
      <c r="U200" s="51" t="n">
        <v>0</v>
      </c>
      <c r="V200" s="45" t="n">
        <v>2023</v>
      </c>
    </row>
    <row r="201" customFormat="false" ht="15" hidden="false" customHeight="true" outlineLevel="0" collapsed="false">
      <c r="A201" s="35" t="s">
        <v>516</v>
      </c>
      <c r="B201" s="35" t="n">
        <v>50</v>
      </c>
      <c r="C201" s="35" t="s">
        <v>288</v>
      </c>
      <c r="D201" s="36" t="s">
        <v>293</v>
      </c>
      <c r="E201" s="36" t="s">
        <v>312</v>
      </c>
      <c r="F201" s="37" t="s">
        <v>276</v>
      </c>
      <c r="G201" s="36" t="s">
        <v>277</v>
      </c>
      <c r="H201" s="38" t="n">
        <v>1300</v>
      </c>
      <c r="I201" s="35" t="n">
        <v>2020</v>
      </c>
      <c r="J201" s="35" t="n">
        <v>4</v>
      </c>
      <c r="K201" s="39" t="n">
        <v>21000</v>
      </c>
      <c r="L201" s="35" t="s">
        <v>285</v>
      </c>
      <c r="M201" s="40" t="n">
        <v>0.55</v>
      </c>
      <c r="N201" s="67" t="n">
        <v>6</v>
      </c>
      <c r="O201" s="68" t="s">
        <v>286</v>
      </c>
      <c r="P201" s="39" t="n">
        <v>900</v>
      </c>
      <c r="Q201" s="39" t="n">
        <v>495</v>
      </c>
      <c r="R201" s="43" t="n">
        <v>0</v>
      </c>
      <c r="S201" s="39" t="n">
        <v>0</v>
      </c>
      <c r="T201" s="39" t="n">
        <v>405</v>
      </c>
      <c r="U201" s="44" t="n">
        <v>1</v>
      </c>
      <c r="V201" s="35" t="n">
        <v>2024</v>
      </c>
    </row>
    <row r="202" customFormat="false" ht="15" hidden="false" customHeight="true" outlineLevel="0" collapsed="false">
      <c r="A202" s="45" t="s">
        <v>517</v>
      </c>
      <c r="B202" s="45" t="n">
        <v>59</v>
      </c>
      <c r="C202" s="45" t="s">
        <v>288</v>
      </c>
      <c r="D202" s="46" t="s">
        <v>307</v>
      </c>
      <c r="E202" s="46" t="s">
        <v>336</v>
      </c>
      <c r="F202" s="47" t="s">
        <v>302</v>
      </c>
      <c r="G202" s="46" t="s">
        <v>303</v>
      </c>
      <c r="H202" s="48" t="n">
        <v>1498</v>
      </c>
      <c r="I202" s="45" t="n">
        <v>2018</v>
      </c>
      <c r="J202" s="45" t="n">
        <v>6</v>
      </c>
      <c r="K202" s="49" t="n">
        <v>52000</v>
      </c>
      <c r="L202" s="45" t="s">
        <v>285</v>
      </c>
      <c r="M202" s="50" t="n">
        <v>0</v>
      </c>
      <c r="N202" s="64" t="n">
        <v>15</v>
      </c>
      <c r="O202" s="65" t="s">
        <v>279</v>
      </c>
      <c r="P202" s="49" t="n">
        <v>2300</v>
      </c>
      <c r="Q202" s="49" t="n">
        <v>0</v>
      </c>
      <c r="R202" s="53" t="n">
        <v>0</v>
      </c>
      <c r="S202" s="49" t="n">
        <v>0</v>
      </c>
      <c r="T202" s="49" t="n">
        <v>2300</v>
      </c>
      <c r="U202" s="51" t="n">
        <v>0</v>
      </c>
      <c r="V202" s="45" t="n">
        <v>2022</v>
      </c>
    </row>
    <row r="203" customFormat="false" ht="15" hidden="false" customHeight="true" outlineLevel="0" collapsed="false">
      <c r="A203" s="54" t="s">
        <v>518</v>
      </c>
      <c r="B203" s="54" t="n">
        <v>58</v>
      </c>
      <c r="C203" s="54" t="s">
        <v>273</v>
      </c>
      <c r="D203" s="55" t="s">
        <v>309</v>
      </c>
      <c r="E203" s="55" t="s">
        <v>301</v>
      </c>
      <c r="F203" s="56" t="s">
        <v>276</v>
      </c>
      <c r="G203" s="55" t="s">
        <v>277</v>
      </c>
      <c r="H203" s="57" t="n">
        <v>1300</v>
      </c>
      <c r="I203" s="54" t="n">
        <v>2018</v>
      </c>
      <c r="J203" s="54" t="n">
        <v>6</v>
      </c>
      <c r="K203" s="58" t="n">
        <v>36000</v>
      </c>
      <c r="L203" s="54" t="s">
        <v>285</v>
      </c>
      <c r="M203" s="59" t="n">
        <v>0</v>
      </c>
      <c r="N203" s="60" t="n">
        <v>10</v>
      </c>
      <c r="O203" s="61" t="s">
        <v>279</v>
      </c>
      <c r="P203" s="58" t="n">
        <v>1600</v>
      </c>
      <c r="Q203" s="58" t="n">
        <v>0</v>
      </c>
      <c r="R203" s="62" t="n">
        <v>0</v>
      </c>
      <c r="S203" s="58" t="n">
        <v>0</v>
      </c>
      <c r="T203" s="58" t="n">
        <v>1600</v>
      </c>
      <c r="U203" s="63" t="n">
        <v>0</v>
      </c>
      <c r="V203" s="54" t="n">
        <v>2024</v>
      </c>
    </row>
    <row r="204" customFormat="false" ht="15" hidden="false" customHeight="true" outlineLevel="0" collapsed="false">
      <c r="A204" s="45" t="s">
        <v>519</v>
      </c>
      <c r="B204" s="45" t="n">
        <v>52</v>
      </c>
      <c r="C204" s="45" t="s">
        <v>288</v>
      </c>
      <c r="D204" s="46" t="s">
        <v>281</v>
      </c>
      <c r="E204" s="46" t="s">
        <v>282</v>
      </c>
      <c r="F204" s="47" t="s">
        <v>283</v>
      </c>
      <c r="G204" s="46" t="s">
        <v>349</v>
      </c>
      <c r="H204" s="48" t="n">
        <v>1498</v>
      </c>
      <c r="I204" s="45" t="n">
        <v>2020</v>
      </c>
      <c r="J204" s="45" t="n">
        <v>4</v>
      </c>
      <c r="K204" s="49" t="n">
        <v>34000</v>
      </c>
      <c r="L204" s="45" t="s">
        <v>285</v>
      </c>
      <c r="M204" s="50" t="n">
        <v>0.55</v>
      </c>
      <c r="N204" s="64" t="n">
        <v>13</v>
      </c>
      <c r="O204" s="65" t="s">
        <v>279</v>
      </c>
      <c r="P204" s="49" t="n">
        <v>1500</v>
      </c>
      <c r="Q204" s="49" t="n">
        <v>825</v>
      </c>
      <c r="R204" s="53" t="n">
        <v>0</v>
      </c>
      <c r="S204" s="49" t="n">
        <v>0</v>
      </c>
      <c r="T204" s="49" t="n">
        <v>675</v>
      </c>
      <c r="U204" s="51" t="n">
        <v>0</v>
      </c>
      <c r="V204" s="45" t="n">
        <v>2023</v>
      </c>
    </row>
    <row r="205" customFormat="false" ht="15" hidden="false" customHeight="true" outlineLevel="0" collapsed="false">
      <c r="A205" s="71" t="s">
        <v>520</v>
      </c>
      <c r="B205" s="71"/>
      <c r="C205" s="71"/>
      <c r="D205" s="71"/>
      <c r="E205" s="71"/>
      <c r="F205" s="71"/>
      <c r="G205" s="71"/>
      <c r="H205" s="71"/>
      <c r="I205" s="71"/>
      <c r="J205" s="71"/>
      <c r="K205" s="72" t="n">
        <f aca="false">AVERAGE(K5:K204)</f>
        <v>35635</v>
      </c>
      <c r="L205" s="71"/>
      <c r="M205" s="73" t="n">
        <f aca="false">AVERAGE(M5:M204)</f>
        <v>0.374161</v>
      </c>
      <c r="N205" s="74" t="n">
        <f aca="false">AVERAGE(N5:N204)</f>
        <v>11.685</v>
      </c>
      <c r="O205" s="71"/>
      <c r="P205" s="72" t="n">
        <f aca="false">AVERAGE(P5:P204)</f>
        <v>1674</v>
      </c>
      <c r="Q205" s="72" t="n">
        <f aca="false">AVERAGE(Q5:Q204)</f>
        <v>607.705</v>
      </c>
      <c r="R205" s="71"/>
      <c r="S205" s="72" t="n">
        <f aca="false">AVERAGE(S5:S204)</f>
        <v>1.65</v>
      </c>
      <c r="T205" s="72" t="n">
        <f aca="false">AVERAGE(T5:T204)</f>
        <v>1067.945</v>
      </c>
      <c r="U205" s="75" t="n">
        <f aca="false">SUM(U5:U204)</f>
        <v>14</v>
      </c>
      <c r="V205" s="71"/>
    </row>
  </sheetData>
  <mergeCells count="4">
    <mergeCell ref="A1:V1"/>
    <mergeCell ref="A2:V2"/>
    <mergeCell ref="A3:V3"/>
    <mergeCell ref="A205:J2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9" min="8" style="1" width="14"/>
    <col collapsed="false" customWidth="true" hidden="false" outlineLevel="0" max="10" min="10" style="1" width="10"/>
  </cols>
  <sheetData>
    <row r="1" customFormat="false" ht="25.5" hidden="false" customHeight="true" outlineLevel="0" collapsed="false">
      <c r="A1" s="20" t="s">
        <v>521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3.5" hidden="false" customHeight="true" outlineLevel="0" collapsed="false">
      <c r="A2" s="3" t="s">
        <v>522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0" hidden="false" customHeight="true" outlineLevel="0" collapsed="false">
      <c r="A3" s="34" t="s">
        <v>523</v>
      </c>
      <c r="B3" s="34"/>
      <c r="C3" s="34"/>
      <c r="D3" s="34"/>
      <c r="E3" s="34"/>
      <c r="F3" s="34"/>
      <c r="G3" s="34"/>
      <c r="H3" s="34"/>
      <c r="I3" s="34"/>
      <c r="J3" s="34"/>
    </row>
    <row r="4" customFormat="false" ht="19.5" hidden="false" customHeight="true" outlineLevel="0" collapsed="false">
      <c r="A4" s="21" t="s">
        <v>128</v>
      </c>
      <c r="B4" s="21" t="s">
        <v>57</v>
      </c>
      <c r="C4" s="21" t="s">
        <v>133</v>
      </c>
      <c r="D4" s="21" t="s">
        <v>136</v>
      </c>
      <c r="E4" s="21" t="s">
        <v>139</v>
      </c>
      <c r="F4" s="21" t="s">
        <v>142</v>
      </c>
      <c r="G4" s="21" t="s">
        <v>145</v>
      </c>
      <c r="H4" s="21" t="s">
        <v>148</v>
      </c>
      <c r="I4" s="21" t="s">
        <v>151</v>
      </c>
      <c r="J4" s="21" t="s">
        <v>154</v>
      </c>
    </row>
    <row r="5" customFormat="false" ht="15" hidden="false" customHeight="true" outlineLevel="0" collapsed="false">
      <c r="A5" s="45" t="s">
        <v>130</v>
      </c>
      <c r="B5" s="45" t="s">
        <v>60</v>
      </c>
      <c r="C5" s="46" t="s">
        <v>524</v>
      </c>
      <c r="D5" s="46" t="s">
        <v>525</v>
      </c>
      <c r="E5" s="49" t="n">
        <v>6500</v>
      </c>
      <c r="F5" s="49" t="n">
        <v>700</v>
      </c>
      <c r="G5" s="76" t="n">
        <v>5800</v>
      </c>
      <c r="H5" s="52" t="s">
        <v>150</v>
      </c>
      <c r="I5" s="45" t="n">
        <v>40</v>
      </c>
      <c r="J5" s="45" t="n">
        <v>2022</v>
      </c>
    </row>
    <row r="6" customFormat="false" ht="15" hidden="false" customHeight="true" outlineLevel="0" collapsed="false">
      <c r="A6" s="54" t="s">
        <v>526</v>
      </c>
      <c r="B6" s="54" t="s">
        <v>297</v>
      </c>
      <c r="C6" s="55" t="s">
        <v>527</v>
      </c>
      <c r="D6" s="55" t="s">
        <v>528</v>
      </c>
      <c r="E6" s="58" t="n">
        <v>14489</v>
      </c>
      <c r="F6" s="58" t="n">
        <v>500</v>
      </c>
      <c r="G6" s="77" t="n">
        <v>13989</v>
      </c>
      <c r="H6" s="66" t="s">
        <v>150</v>
      </c>
      <c r="I6" s="54" t="n">
        <v>25</v>
      </c>
      <c r="J6" s="54" t="n">
        <v>2023</v>
      </c>
    </row>
    <row r="7" customFormat="false" ht="15" hidden="false" customHeight="true" outlineLevel="0" collapsed="false">
      <c r="A7" s="45" t="s">
        <v>529</v>
      </c>
      <c r="B7" s="45" t="s">
        <v>317</v>
      </c>
      <c r="C7" s="46" t="s">
        <v>135</v>
      </c>
      <c r="D7" s="46" t="s">
        <v>138</v>
      </c>
      <c r="E7" s="49" t="n">
        <v>3700</v>
      </c>
      <c r="F7" s="49" t="n">
        <v>700</v>
      </c>
      <c r="G7" s="76" t="n">
        <v>3000</v>
      </c>
      <c r="H7" s="52" t="s">
        <v>150</v>
      </c>
      <c r="I7" s="45" t="n">
        <v>19</v>
      </c>
      <c r="J7" s="45" t="n">
        <v>2022</v>
      </c>
    </row>
    <row r="8" customFormat="false" ht="15" hidden="false" customHeight="true" outlineLevel="0" collapsed="false">
      <c r="A8" s="54" t="s">
        <v>530</v>
      </c>
      <c r="B8" s="54" t="s">
        <v>327</v>
      </c>
      <c r="C8" s="55" t="s">
        <v>524</v>
      </c>
      <c r="D8" s="55" t="s">
        <v>525</v>
      </c>
      <c r="E8" s="58" t="n">
        <v>12200</v>
      </c>
      <c r="F8" s="58" t="n">
        <v>500</v>
      </c>
      <c r="G8" s="77" t="n">
        <v>11700</v>
      </c>
      <c r="H8" s="55" t="s">
        <v>531</v>
      </c>
      <c r="I8" s="54" t="n">
        <v>9</v>
      </c>
      <c r="J8" s="54" t="n">
        <v>2023</v>
      </c>
    </row>
    <row r="9" customFormat="false" ht="15" hidden="false" customHeight="true" outlineLevel="0" collapsed="false">
      <c r="A9" s="45" t="s">
        <v>532</v>
      </c>
      <c r="B9" s="45" t="s">
        <v>331</v>
      </c>
      <c r="C9" s="46" t="s">
        <v>135</v>
      </c>
      <c r="D9" s="46" t="s">
        <v>138</v>
      </c>
      <c r="E9" s="49" t="n">
        <v>3400</v>
      </c>
      <c r="F9" s="49" t="n">
        <v>500</v>
      </c>
      <c r="G9" s="76" t="n">
        <v>2900</v>
      </c>
      <c r="H9" s="52" t="s">
        <v>150</v>
      </c>
      <c r="I9" s="45" t="n">
        <v>39</v>
      </c>
      <c r="J9" s="45" t="n">
        <v>2023</v>
      </c>
    </row>
    <row r="10" customFormat="false" ht="15" hidden="false" customHeight="true" outlineLevel="0" collapsed="false">
      <c r="A10" s="54" t="s">
        <v>533</v>
      </c>
      <c r="B10" s="54" t="s">
        <v>364</v>
      </c>
      <c r="C10" s="55" t="s">
        <v>135</v>
      </c>
      <c r="D10" s="55" t="s">
        <v>138</v>
      </c>
      <c r="E10" s="58" t="n">
        <v>13000</v>
      </c>
      <c r="F10" s="58" t="n">
        <v>500</v>
      </c>
      <c r="G10" s="77" t="n">
        <v>12500</v>
      </c>
      <c r="H10" s="55" t="s">
        <v>534</v>
      </c>
      <c r="I10" s="54" t="n">
        <v>78</v>
      </c>
      <c r="J10" s="54" t="n">
        <v>2022</v>
      </c>
    </row>
    <row r="11" customFormat="false" ht="15" hidden="false" customHeight="true" outlineLevel="0" collapsed="false">
      <c r="A11" s="45" t="s">
        <v>535</v>
      </c>
      <c r="B11" s="45" t="s">
        <v>381</v>
      </c>
      <c r="C11" s="46" t="s">
        <v>524</v>
      </c>
      <c r="D11" s="46" t="s">
        <v>525</v>
      </c>
      <c r="E11" s="49" t="n">
        <v>3500</v>
      </c>
      <c r="F11" s="49" t="n">
        <v>500</v>
      </c>
      <c r="G11" s="76" t="n">
        <v>3000</v>
      </c>
      <c r="H11" s="46" t="s">
        <v>534</v>
      </c>
      <c r="I11" s="45" t="n">
        <v>107</v>
      </c>
      <c r="J11" s="45" t="n">
        <v>2022</v>
      </c>
    </row>
    <row r="12" customFormat="false" ht="15" hidden="false" customHeight="true" outlineLevel="0" collapsed="false">
      <c r="A12" s="54" t="s">
        <v>536</v>
      </c>
      <c r="B12" s="54" t="s">
        <v>422</v>
      </c>
      <c r="C12" s="55" t="s">
        <v>135</v>
      </c>
      <c r="D12" s="55" t="s">
        <v>528</v>
      </c>
      <c r="E12" s="58" t="n">
        <v>3800</v>
      </c>
      <c r="F12" s="58" t="n">
        <v>500</v>
      </c>
      <c r="G12" s="77" t="n">
        <v>3300</v>
      </c>
      <c r="H12" s="66" t="s">
        <v>150</v>
      </c>
      <c r="I12" s="54" t="n">
        <v>20</v>
      </c>
      <c r="J12" s="54" t="n">
        <v>2024</v>
      </c>
    </row>
    <row r="13" customFormat="false" ht="15" hidden="false" customHeight="true" outlineLevel="0" collapsed="false">
      <c r="A13" s="45" t="s">
        <v>537</v>
      </c>
      <c r="B13" s="45" t="s">
        <v>422</v>
      </c>
      <c r="C13" s="46" t="s">
        <v>524</v>
      </c>
      <c r="D13" s="46" t="s">
        <v>525</v>
      </c>
      <c r="E13" s="49" t="n">
        <v>3900</v>
      </c>
      <c r="F13" s="49" t="n">
        <v>500</v>
      </c>
      <c r="G13" s="76" t="n">
        <v>3400</v>
      </c>
      <c r="H13" s="52" t="s">
        <v>150</v>
      </c>
      <c r="I13" s="45" t="n">
        <v>21</v>
      </c>
      <c r="J13" s="45" t="n">
        <v>2024</v>
      </c>
    </row>
    <row r="14" customFormat="false" ht="15" hidden="false" customHeight="true" outlineLevel="0" collapsed="false">
      <c r="A14" s="54" t="s">
        <v>538</v>
      </c>
      <c r="B14" s="54" t="s">
        <v>441</v>
      </c>
      <c r="C14" s="55" t="s">
        <v>539</v>
      </c>
      <c r="D14" s="55" t="s">
        <v>138</v>
      </c>
      <c r="E14" s="58" t="n">
        <v>2223</v>
      </c>
      <c r="F14" s="58" t="n">
        <v>300</v>
      </c>
      <c r="G14" s="77" t="n">
        <v>1923</v>
      </c>
      <c r="H14" s="66" t="s">
        <v>150</v>
      </c>
      <c r="I14" s="54" t="n">
        <v>25</v>
      </c>
      <c r="J14" s="54" t="n">
        <v>2023</v>
      </c>
    </row>
    <row r="15" customFormat="false" ht="15" hidden="false" customHeight="true" outlineLevel="0" collapsed="false">
      <c r="A15" s="45" t="s">
        <v>540</v>
      </c>
      <c r="B15" s="45" t="s">
        <v>462</v>
      </c>
      <c r="C15" s="46" t="s">
        <v>135</v>
      </c>
      <c r="D15" s="46" t="s">
        <v>138</v>
      </c>
      <c r="E15" s="49" t="n">
        <v>8700</v>
      </c>
      <c r="F15" s="49" t="n">
        <v>700</v>
      </c>
      <c r="G15" s="76" t="n">
        <v>8000</v>
      </c>
      <c r="H15" s="52" t="s">
        <v>150</v>
      </c>
      <c r="I15" s="45" t="n">
        <v>21</v>
      </c>
      <c r="J15" s="45" t="n">
        <v>2022</v>
      </c>
    </row>
    <row r="16" customFormat="false" ht="15" hidden="false" customHeight="true" outlineLevel="0" collapsed="false">
      <c r="A16" s="54" t="s">
        <v>541</v>
      </c>
      <c r="B16" s="54" t="s">
        <v>462</v>
      </c>
      <c r="C16" s="55" t="s">
        <v>524</v>
      </c>
      <c r="D16" s="55" t="s">
        <v>525</v>
      </c>
      <c r="E16" s="58" t="n">
        <v>6700</v>
      </c>
      <c r="F16" s="58" t="n">
        <v>700</v>
      </c>
      <c r="G16" s="77" t="n">
        <v>6000</v>
      </c>
      <c r="H16" s="66" t="s">
        <v>150</v>
      </c>
      <c r="I16" s="54" t="n">
        <v>19</v>
      </c>
      <c r="J16" s="54" t="n">
        <v>2022</v>
      </c>
    </row>
    <row r="17" customFormat="false" ht="15" hidden="false" customHeight="true" outlineLevel="0" collapsed="false">
      <c r="A17" s="45" t="s">
        <v>542</v>
      </c>
      <c r="B17" s="45" t="s">
        <v>463</v>
      </c>
      <c r="C17" s="46" t="s">
        <v>539</v>
      </c>
      <c r="D17" s="46" t="s">
        <v>138</v>
      </c>
      <c r="E17" s="49" t="n">
        <v>1682</v>
      </c>
      <c r="F17" s="49" t="n">
        <v>500</v>
      </c>
      <c r="G17" s="76" t="n">
        <v>1182</v>
      </c>
      <c r="H17" s="52" t="s">
        <v>150</v>
      </c>
      <c r="I17" s="45" t="n">
        <v>36</v>
      </c>
      <c r="J17" s="45" t="n">
        <v>2024</v>
      </c>
    </row>
    <row r="18" customFormat="false" ht="15" hidden="false" customHeight="true" outlineLevel="0" collapsed="false">
      <c r="A18" s="54" t="s">
        <v>543</v>
      </c>
      <c r="B18" s="54" t="s">
        <v>499</v>
      </c>
      <c r="C18" s="55" t="s">
        <v>524</v>
      </c>
      <c r="D18" s="55" t="s">
        <v>138</v>
      </c>
      <c r="E18" s="58" t="n">
        <v>1600</v>
      </c>
      <c r="F18" s="58" t="n">
        <v>500</v>
      </c>
      <c r="G18" s="77" t="n">
        <v>1100</v>
      </c>
      <c r="H18" s="66" t="s">
        <v>150</v>
      </c>
      <c r="I18" s="54" t="n">
        <v>39</v>
      </c>
      <c r="J18" s="54" t="n">
        <v>2023</v>
      </c>
    </row>
    <row r="19" customFormat="false" ht="15" hidden="false" customHeight="true" outlineLevel="0" collapsed="false">
      <c r="A19" s="45" t="s">
        <v>544</v>
      </c>
      <c r="B19" s="45" t="s">
        <v>499</v>
      </c>
      <c r="C19" s="46" t="s">
        <v>527</v>
      </c>
      <c r="D19" s="46" t="s">
        <v>528</v>
      </c>
      <c r="E19" s="49" t="n">
        <v>19168</v>
      </c>
      <c r="F19" s="49" t="n">
        <v>500</v>
      </c>
      <c r="G19" s="76" t="n">
        <v>18668</v>
      </c>
      <c r="H19" s="52" t="s">
        <v>150</v>
      </c>
      <c r="I19" s="45" t="n">
        <v>9</v>
      </c>
      <c r="J19" s="45" t="n">
        <v>2023</v>
      </c>
    </row>
    <row r="20" customFormat="false" ht="15" hidden="false" customHeight="true" outlineLevel="0" collapsed="false">
      <c r="A20" s="54" t="s">
        <v>545</v>
      </c>
      <c r="B20" s="54" t="s">
        <v>504</v>
      </c>
      <c r="C20" s="55" t="s">
        <v>524</v>
      </c>
      <c r="D20" s="55" t="s">
        <v>525</v>
      </c>
      <c r="E20" s="58" t="n">
        <v>2900</v>
      </c>
      <c r="F20" s="58" t="n">
        <v>500</v>
      </c>
      <c r="G20" s="77" t="n">
        <v>2400</v>
      </c>
      <c r="H20" s="66" t="s">
        <v>150</v>
      </c>
      <c r="I20" s="54" t="n">
        <v>14</v>
      </c>
      <c r="J20" s="54" t="n">
        <v>2023</v>
      </c>
    </row>
    <row r="21" customFormat="false" ht="15" hidden="false" customHeight="true" outlineLevel="0" collapsed="false">
      <c r="A21" s="45" t="s">
        <v>546</v>
      </c>
      <c r="B21" s="45" t="s">
        <v>504</v>
      </c>
      <c r="C21" s="46" t="s">
        <v>135</v>
      </c>
      <c r="D21" s="46" t="s">
        <v>138</v>
      </c>
      <c r="E21" s="49" t="n">
        <v>5500</v>
      </c>
      <c r="F21" s="49" t="n">
        <v>500</v>
      </c>
      <c r="G21" s="76" t="n">
        <v>5000</v>
      </c>
      <c r="H21" s="52" t="s">
        <v>150</v>
      </c>
      <c r="I21" s="45" t="n">
        <v>44</v>
      </c>
      <c r="J21" s="45" t="n">
        <v>2023</v>
      </c>
    </row>
    <row r="22" customFormat="false" ht="15" hidden="false" customHeight="true" outlineLevel="0" collapsed="false">
      <c r="A22" s="54" t="s">
        <v>547</v>
      </c>
      <c r="B22" s="54" t="s">
        <v>516</v>
      </c>
      <c r="C22" s="55" t="s">
        <v>524</v>
      </c>
      <c r="D22" s="55" t="s">
        <v>138</v>
      </c>
      <c r="E22" s="58" t="n">
        <v>5200</v>
      </c>
      <c r="F22" s="58" t="n">
        <v>500</v>
      </c>
      <c r="G22" s="77" t="n">
        <v>4700</v>
      </c>
      <c r="H22" s="66" t="s">
        <v>150</v>
      </c>
      <c r="I22" s="54" t="n">
        <v>22</v>
      </c>
      <c r="J22" s="54" t="n">
        <v>2024</v>
      </c>
    </row>
    <row r="23" customFormat="false" ht="15" hidden="false" customHeight="true" outlineLevel="0" collapsed="false">
      <c r="A23" s="45" t="s">
        <v>548</v>
      </c>
      <c r="B23" s="45" t="s">
        <v>516</v>
      </c>
      <c r="C23" s="46" t="s">
        <v>524</v>
      </c>
      <c r="D23" s="46" t="s">
        <v>138</v>
      </c>
      <c r="E23" s="49" t="n">
        <v>5000</v>
      </c>
      <c r="F23" s="49" t="n">
        <v>500</v>
      </c>
      <c r="G23" s="76" t="n">
        <v>4500</v>
      </c>
      <c r="H23" s="52" t="s">
        <v>150</v>
      </c>
      <c r="I23" s="45" t="n">
        <v>16</v>
      </c>
      <c r="J23" s="45" t="n">
        <v>2024</v>
      </c>
    </row>
    <row r="25" customFormat="false" ht="15" hidden="false" customHeight="true" outlineLevel="0" collapsed="false">
      <c r="A25" s="18" t="s">
        <v>549</v>
      </c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18" hidden="false" customHeight="true" outlineLevel="0" collapsed="false">
      <c r="A26" s="78" t="s">
        <v>550</v>
      </c>
      <c r="B26" s="79" t="n">
        <f aca="false">AVERAGE(E5:E23)</f>
        <v>6482.21052631579</v>
      </c>
      <c r="D26" s="78" t="s">
        <v>551</v>
      </c>
      <c r="E26" s="79" t="n">
        <f aca="false">AVERAGE(G5:G23)</f>
        <v>5950.63157894737</v>
      </c>
      <c r="G26" s="78" t="s">
        <v>552</v>
      </c>
      <c r="H26" s="79" t="n">
        <f aca="false">SUM(G5:G23)</f>
        <v>113062</v>
      </c>
    </row>
  </sheetData>
  <mergeCells count="4">
    <mergeCell ref="A1:J1"/>
    <mergeCell ref="A2:J2"/>
    <mergeCell ref="A3:J3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40"/>
  </cols>
  <sheetData>
    <row r="1" customFormat="false" ht="25.5" hidden="false" customHeight="true" outlineLevel="0" collapsed="false">
      <c r="A1" s="20" t="s">
        <v>553</v>
      </c>
      <c r="B1" s="20"/>
      <c r="C1" s="20"/>
      <c r="D1" s="20"/>
      <c r="E1" s="20"/>
    </row>
    <row r="2" customFormat="false" ht="13.5" hidden="false" customHeight="true" outlineLevel="0" collapsed="false">
      <c r="A2" s="3" t="s">
        <v>554</v>
      </c>
      <c r="B2" s="3"/>
      <c r="C2" s="3"/>
      <c r="D2" s="3"/>
      <c r="E2" s="3"/>
    </row>
    <row r="3" customFormat="false" ht="30" hidden="false" customHeight="true" outlineLevel="0" collapsed="false">
      <c r="A3" s="34" t="s">
        <v>555</v>
      </c>
      <c r="B3" s="34"/>
      <c r="C3" s="34"/>
      <c r="D3" s="34"/>
      <c r="E3" s="34"/>
    </row>
    <row r="4" customFormat="false" ht="15" hidden="false" customHeight="true" outlineLevel="0" collapsed="false">
      <c r="A4" s="5" t="s">
        <v>556</v>
      </c>
      <c r="B4" s="5"/>
      <c r="C4" s="5"/>
      <c r="D4" s="5"/>
      <c r="E4" s="5"/>
    </row>
    <row r="5" customFormat="false" ht="19.5" hidden="false" customHeight="true" outlineLevel="0" collapsed="false">
      <c r="A5" s="21" t="s">
        <v>557</v>
      </c>
      <c r="B5" s="21" t="s">
        <v>558</v>
      </c>
      <c r="C5" s="21" t="s">
        <v>559</v>
      </c>
      <c r="D5" s="21" t="s">
        <v>560</v>
      </c>
      <c r="E5" s="21" t="s">
        <v>561</v>
      </c>
    </row>
    <row r="6" customFormat="false" ht="21.75" hidden="false" customHeight="true" outlineLevel="0" collapsed="false">
      <c r="A6" s="9" t="n">
        <v>0</v>
      </c>
      <c r="B6" s="80" t="n">
        <v>0</v>
      </c>
      <c r="C6" s="81" t="n">
        <v>0</v>
      </c>
      <c r="D6" s="82" t="n">
        <v>0</v>
      </c>
      <c r="E6" s="83" t="s">
        <v>562</v>
      </c>
    </row>
    <row r="7" customFormat="false" ht="21.75" hidden="false" customHeight="true" outlineLevel="0" collapsed="false">
      <c r="A7" s="84" t="n">
        <v>1</v>
      </c>
      <c r="B7" s="85" t="n">
        <v>0.25</v>
      </c>
      <c r="C7" s="86" t="n">
        <v>500</v>
      </c>
      <c r="D7" s="87" t="n">
        <v>1250</v>
      </c>
      <c r="E7" s="88" t="s">
        <v>563</v>
      </c>
    </row>
    <row r="8" customFormat="false" ht="21.75" hidden="false" customHeight="true" outlineLevel="0" collapsed="false">
      <c r="A8" s="9" t="n">
        <v>2</v>
      </c>
      <c r="B8" s="80" t="n">
        <v>0.3</v>
      </c>
      <c r="C8" s="81" t="n">
        <v>600</v>
      </c>
      <c r="D8" s="82" t="n">
        <v>1500</v>
      </c>
      <c r="E8" s="83" t="s">
        <v>564</v>
      </c>
    </row>
    <row r="9" customFormat="false" ht="21.75" hidden="false" customHeight="true" outlineLevel="0" collapsed="false">
      <c r="A9" s="84" t="n">
        <v>3</v>
      </c>
      <c r="B9" s="85" t="n">
        <v>0.3833</v>
      </c>
      <c r="C9" s="86" t="n">
        <v>766.6</v>
      </c>
      <c r="D9" s="87" t="n">
        <v>1916.5</v>
      </c>
      <c r="E9" s="88" t="s">
        <v>565</v>
      </c>
    </row>
    <row r="10" customFormat="false" ht="21.75" hidden="false" customHeight="true" outlineLevel="0" collapsed="false">
      <c r="A10" s="9" t="n">
        <v>4</v>
      </c>
      <c r="B10" s="80" t="n">
        <v>0.45</v>
      </c>
      <c r="C10" s="81" t="n">
        <v>900</v>
      </c>
      <c r="D10" s="82" t="n">
        <v>2250</v>
      </c>
      <c r="E10" s="83" t="s">
        <v>566</v>
      </c>
    </row>
    <row r="11" customFormat="false" ht="21.75" hidden="false" customHeight="true" outlineLevel="0" collapsed="false">
      <c r="A11" s="89" t="s">
        <v>567</v>
      </c>
      <c r="B11" s="90" t="n">
        <v>0.55</v>
      </c>
      <c r="C11" s="91" t="n">
        <v>1100</v>
      </c>
      <c r="D11" s="92" t="n">
        <v>2750</v>
      </c>
      <c r="E11" s="93" t="s">
        <v>568</v>
      </c>
    </row>
    <row r="13" customFormat="false" ht="15" hidden="false" customHeight="true" outlineLevel="0" collapsed="false">
      <c r="A13" s="18" t="s">
        <v>569</v>
      </c>
      <c r="B13" s="18"/>
      <c r="C13" s="18"/>
      <c r="D13" s="18"/>
      <c r="E13" s="18"/>
    </row>
    <row r="14" customFormat="false" ht="19.5" hidden="false" customHeight="true" outlineLevel="0" collapsed="false">
      <c r="A14" s="94" t="s">
        <v>570</v>
      </c>
      <c r="B14" s="95" t="s">
        <v>571</v>
      </c>
      <c r="C14" s="95"/>
      <c r="D14" s="95"/>
      <c r="E14" s="95"/>
    </row>
    <row r="15" customFormat="false" ht="19.5" hidden="false" customHeight="true" outlineLevel="0" collapsed="false">
      <c r="A15" s="94" t="s">
        <v>572</v>
      </c>
      <c r="B15" s="95" t="s">
        <v>573</v>
      </c>
      <c r="C15" s="95"/>
      <c r="D15" s="95"/>
      <c r="E15" s="95"/>
    </row>
    <row r="16" customFormat="false" ht="19.5" hidden="false" customHeight="true" outlineLevel="0" collapsed="false">
      <c r="A16" s="94" t="s">
        <v>574</v>
      </c>
      <c r="B16" s="95" t="s">
        <v>575</v>
      </c>
      <c r="C16" s="95"/>
      <c r="D16" s="95"/>
      <c r="E16" s="95"/>
    </row>
    <row r="17" customFormat="false" ht="19.5" hidden="false" customHeight="true" outlineLevel="0" collapsed="false">
      <c r="A17" s="94" t="s">
        <v>576</v>
      </c>
      <c r="B17" s="95" t="s">
        <v>577</v>
      </c>
      <c r="C17" s="95"/>
      <c r="D17" s="95"/>
      <c r="E17" s="95"/>
    </row>
    <row r="18" customFormat="false" ht="19.5" hidden="false" customHeight="true" outlineLevel="0" collapsed="false">
      <c r="A18" s="94" t="s">
        <v>578</v>
      </c>
      <c r="B18" s="95" t="s">
        <v>579</v>
      </c>
      <c r="C18" s="95"/>
      <c r="D18" s="95"/>
      <c r="E18" s="95"/>
    </row>
    <row r="19" customFormat="false" ht="19.5" hidden="false" customHeight="true" outlineLevel="0" collapsed="false">
      <c r="A19" s="94" t="s">
        <v>580</v>
      </c>
      <c r="B19" s="95" t="s">
        <v>581</v>
      </c>
      <c r="C19" s="95"/>
      <c r="D19" s="95"/>
      <c r="E19" s="95"/>
    </row>
    <row r="20" customFormat="false" ht="19.5" hidden="false" customHeight="true" outlineLevel="0" collapsed="false">
      <c r="A20" s="94" t="s">
        <v>582</v>
      </c>
      <c r="B20" s="95" t="s">
        <v>583</v>
      </c>
      <c r="C20" s="95"/>
      <c r="D20" s="95"/>
      <c r="E20" s="95"/>
    </row>
    <row r="22" customFormat="false" ht="15" hidden="false" customHeight="true" outlineLevel="0" collapsed="false">
      <c r="A22" s="96" t="s">
        <v>584</v>
      </c>
      <c r="B22" s="96"/>
      <c r="C22" s="96"/>
      <c r="D22" s="96"/>
      <c r="E22" s="96"/>
    </row>
    <row r="23" customFormat="false" ht="15" hidden="false" customHeight="true" outlineLevel="0" collapsed="false">
      <c r="A23" s="97" t="s">
        <v>585</v>
      </c>
      <c r="B23" s="98" t="n">
        <v>3200</v>
      </c>
    </row>
    <row r="24" customFormat="false" ht="18" hidden="false" customHeight="true" outlineLevel="0" collapsed="false">
      <c r="A24" s="99" t="s">
        <v>586</v>
      </c>
      <c r="B24" s="100" t="s">
        <v>587</v>
      </c>
      <c r="C24" s="101"/>
      <c r="D24" s="101"/>
      <c r="E24" s="101"/>
    </row>
    <row r="25" customFormat="false" ht="18" hidden="false" customHeight="true" outlineLevel="0" collapsed="false">
      <c r="A25" s="99" t="s">
        <v>588</v>
      </c>
      <c r="B25" s="79" t="n">
        <f aca="false">3200*0.55</f>
        <v>1760</v>
      </c>
      <c r="C25" s="101"/>
      <c r="D25" s="101"/>
      <c r="E25" s="101"/>
    </row>
    <row r="26" customFormat="false" ht="18" hidden="false" customHeight="true" outlineLevel="0" collapsed="false">
      <c r="A26" s="99" t="s">
        <v>589</v>
      </c>
      <c r="B26" s="79" t="n">
        <f aca="false">3200-3200*0.55</f>
        <v>1440</v>
      </c>
      <c r="C26" s="101"/>
      <c r="D26" s="101"/>
      <c r="E26" s="101"/>
    </row>
    <row r="27" customFormat="false" ht="18" hidden="false" customHeight="true" outlineLevel="0" collapsed="false">
      <c r="A27" s="99" t="s">
        <v>590</v>
      </c>
      <c r="B27" s="79" t="n">
        <f aca="false">3200*0.55</f>
        <v>1760</v>
      </c>
      <c r="C27" s="101"/>
      <c r="D27" s="101"/>
      <c r="E27" s="101"/>
    </row>
  </sheetData>
  <mergeCells count="17">
    <mergeCell ref="A1:E1"/>
    <mergeCell ref="A2:E2"/>
    <mergeCell ref="A3:E3"/>
    <mergeCell ref="A4:E4"/>
    <mergeCell ref="A13:E13"/>
    <mergeCell ref="B14:E14"/>
    <mergeCell ref="B15:E15"/>
    <mergeCell ref="B16:E16"/>
    <mergeCell ref="B17:E17"/>
    <mergeCell ref="B18:E18"/>
    <mergeCell ref="B19:E19"/>
    <mergeCell ref="B20:E20"/>
    <mergeCell ref="A22:E22"/>
    <mergeCell ref="C24:E24"/>
    <mergeCell ref="C25:E25"/>
    <mergeCell ref="C26:E26"/>
    <mergeCell ref="C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5" min="3" style="1" width="12"/>
    <col collapsed="false" customWidth="true" hidden="false" outlineLevel="0" max="6" min="6" style="1" width="14"/>
    <col collapsed="false" customWidth="true" hidden="false" outlineLevel="0" max="7" min="7" style="1" width="30"/>
  </cols>
  <sheetData>
    <row r="1" customFormat="false" ht="25.5" hidden="false" customHeight="true" outlineLevel="0" collapsed="false">
      <c r="A1" s="20" t="s">
        <v>591</v>
      </c>
      <c r="B1" s="20"/>
      <c r="C1" s="20"/>
      <c r="D1" s="20"/>
      <c r="E1" s="20"/>
      <c r="F1" s="20"/>
      <c r="G1" s="20"/>
    </row>
    <row r="2" customFormat="false" ht="13.5" hidden="false" customHeight="true" outlineLevel="0" collapsed="false">
      <c r="A2" s="3" t="s">
        <v>592</v>
      </c>
      <c r="B2" s="3"/>
      <c r="C2" s="3"/>
      <c r="D2" s="3"/>
      <c r="E2" s="3"/>
      <c r="F2" s="3"/>
      <c r="G2" s="3"/>
    </row>
    <row r="3" customFormat="false" ht="30" hidden="false" customHeight="true" outlineLevel="0" collapsed="false">
      <c r="A3" s="34" t="s">
        <v>593</v>
      </c>
      <c r="B3" s="34"/>
      <c r="C3" s="34"/>
      <c r="D3" s="34"/>
      <c r="E3" s="34"/>
      <c r="F3" s="34"/>
      <c r="G3" s="34"/>
    </row>
    <row r="4" customFormat="false" ht="19.5" hidden="false" customHeight="true" outlineLevel="0" collapsed="false">
      <c r="A4" s="21" t="s">
        <v>594</v>
      </c>
      <c r="B4" s="21" t="s">
        <v>595</v>
      </c>
      <c r="C4" s="21" t="s">
        <v>596</v>
      </c>
      <c r="D4" s="21" t="s">
        <v>597</v>
      </c>
      <c r="E4" s="21" t="s">
        <v>598</v>
      </c>
      <c r="F4" s="21" t="s">
        <v>599</v>
      </c>
      <c r="G4" s="21" t="s">
        <v>600</v>
      </c>
    </row>
    <row r="5" customFormat="false" ht="19.5" hidden="false" customHeight="true" outlineLevel="0" collapsed="false">
      <c r="A5" s="30" t="s">
        <v>601</v>
      </c>
      <c r="B5" s="33" t="s">
        <v>602</v>
      </c>
      <c r="C5" s="102" t="s">
        <v>603</v>
      </c>
      <c r="D5" s="103" t="s">
        <v>604</v>
      </c>
      <c r="E5" s="104" t="s">
        <v>605</v>
      </c>
      <c r="F5" s="105" t="s">
        <v>606</v>
      </c>
      <c r="G5" s="33" t="s">
        <v>607</v>
      </c>
    </row>
    <row r="6" customFormat="false" ht="19.5" hidden="false" customHeight="true" outlineLevel="0" collapsed="false">
      <c r="A6" s="30" t="s">
        <v>601</v>
      </c>
      <c r="B6" s="33" t="s">
        <v>608</v>
      </c>
      <c r="C6" s="102" t="s">
        <v>609</v>
      </c>
      <c r="D6" s="103" t="s">
        <v>610</v>
      </c>
      <c r="E6" s="104" t="s">
        <v>611</v>
      </c>
      <c r="F6" s="105" t="s">
        <v>612</v>
      </c>
      <c r="G6" s="33" t="s">
        <v>613</v>
      </c>
    </row>
    <row r="7" customFormat="false" ht="19.5" hidden="false" customHeight="true" outlineLevel="0" collapsed="false">
      <c r="A7" s="30" t="s">
        <v>601</v>
      </c>
      <c r="B7" s="33" t="s">
        <v>614</v>
      </c>
      <c r="C7" s="102" t="s">
        <v>615</v>
      </c>
      <c r="D7" s="103" t="s">
        <v>616</v>
      </c>
      <c r="E7" s="104" t="s">
        <v>617</v>
      </c>
      <c r="F7" s="105" t="s">
        <v>618</v>
      </c>
      <c r="G7" s="33" t="s">
        <v>619</v>
      </c>
    </row>
    <row r="8" customFormat="false" ht="19.5" hidden="false" customHeight="true" outlineLevel="0" collapsed="false">
      <c r="A8" s="30" t="s">
        <v>601</v>
      </c>
      <c r="B8" s="33" t="s">
        <v>68</v>
      </c>
      <c r="C8" s="102" t="s">
        <v>620</v>
      </c>
      <c r="D8" s="103" t="s">
        <v>621</v>
      </c>
      <c r="E8" s="104" t="s">
        <v>622</v>
      </c>
      <c r="F8" s="105" t="s">
        <v>618</v>
      </c>
      <c r="G8" s="33" t="s">
        <v>623</v>
      </c>
    </row>
    <row r="9" customFormat="false" ht="19.5" hidden="false" customHeight="true" outlineLevel="0" collapsed="false">
      <c r="A9" s="30" t="s">
        <v>601</v>
      </c>
      <c r="B9" s="33" t="s">
        <v>624</v>
      </c>
      <c r="C9" s="102" t="s">
        <v>625</v>
      </c>
      <c r="D9" s="103" t="s">
        <v>626</v>
      </c>
      <c r="E9" s="104" t="s">
        <v>627</v>
      </c>
      <c r="F9" s="105" t="s">
        <v>618</v>
      </c>
      <c r="G9" s="33" t="s">
        <v>628</v>
      </c>
    </row>
    <row r="10" customFormat="false" ht="19.5" hidden="false" customHeight="true" outlineLevel="0" collapsed="false">
      <c r="A10" s="30" t="s">
        <v>601</v>
      </c>
      <c r="B10" s="33" t="s">
        <v>629</v>
      </c>
      <c r="C10" s="102" t="s">
        <v>630</v>
      </c>
      <c r="D10" s="103" t="s">
        <v>631</v>
      </c>
      <c r="E10" s="104" t="s">
        <v>632</v>
      </c>
      <c r="F10" s="105" t="s">
        <v>606</v>
      </c>
      <c r="G10" s="33" t="s">
        <v>633</v>
      </c>
    </row>
    <row r="11" customFormat="false" ht="19.5" hidden="false" customHeight="true" outlineLevel="0" collapsed="false">
      <c r="A11" s="30" t="s">
        <v>601</v>
      </c>
      <c r="B11" s="33" t="s">
        <v>634</v>
      </c>
      <c r="C11" s="102" t="s">
        <v>635</v>
      </c>
      <c r="D11" s="103" t="s">
        <v>636</v>
      </c>
      <c r="E11" s="104" t="s">
        <v>637</v>
      </c>
      <c r="F11" s="105" t="s">
        <v>618</v>
      </c>
      <c r="G11" s="33" t="s">
        <v>638</v>
      </c>
    </row>
    <row r="12" customFormat="false" ht="19.5" hidden="false" customHeight="true" outlineLevel="0" collapsed="false">
      <c r="A12" s="22" t="s">
        <v>639</v>
      </c>
      <c r="B12" s="25" t="s">
        <v>640</v>
      </c>
      <c r="C12" s="106" t="s">
        <v>641</v>
      </c>
      <c r="D12" s="107" t="s">
        <v>642</v>
      </c>
      <c r="E12" s="108" t="s">
        <v>643</v>
      </c>
      <c r="F12" s="109" t="s">
        <v>618</v>
      </c>
      <c r="G12" s="25" t="s">
        <v>644</v>
      </c>
    </row>
    <row r="13" customFormat="false" ht="19.5" hidden="false" customHeight="true" outlineLevel="0" collapsed="false">
      <c r="A13" s="22" t="s">
        <v>639</v>
      </c>
      <c r="B13" s="25" t="s">
        <v>645</v>
      </c>
      <c r="C13" s="106" t="s">
        <v>646</v>
      </c>
      <c r="D13" s="107" t="s">
        <v>647</v>
      </c>
      <c r="E13" s="108" t="s">
        <v>648</v>
      </c>
      <c r="F13" s="109" t="s">
        <v>618</v>
      </c>
      <c r="G13" s="25" t="s">
        <v>649</v>
      </c>
    </row>
    <row r="14" customFormat="false" ht="19.5" hidden="false" customHeight="true" outlineLevel="0" collapsed="false">
      <c r="A14" s="22" t="s">
        <v>639</v>
      </c>
      <c r="B14" s="25" t="s">
        <v>650</v>
      </c>
      <c r="C14" s="106" t="s">
        <v>651</v>
      </c>
      <c r="D14" s="107" t="s">
        <v>652</v>
      </c>
      <c r="E14" s="108" t="s">
        <v>653</v>
      </c>
      <c r="F14" s="109" t="s">
        <v>618</v>
      </c>
      <c r="G14" s="25" t="s">
        <v>654</v>
      </c>
    </row>
    <row r="15" customFormat="false" ht="19.5" hidden="false" customHeight="true" outlineLevel="0" collapsed="false">
      <c r="A15" s="22" t="s">
        <v>639</v>
      </c>
      <c r="B15" s="25" t="s">
        <v>655</v>
      </c>
      <c r="C15" s="106" t="s">
        <v>656</v>
      </c>
      <c r="D15" s="107" t="s">
        <v>657</v>
      </c>
      <c r="E15" s="108" t="s">
        <v>658</v>
      </c>
      <c r="F15" s="109" t="s">
        <v>606</v>
      </c>
      <c r="G15" s="25" t="s">
        <v>659</v>
      </c>
    </row>
    <row r="16" customFormat="false" ht="19.5" hidden="false" customHeight="true" outlineLevel="0" collapsed="false">
      <c r="A16" s="22" t="s">
        <v>639</v>
      </c>
      <c r="B16" s="25" t="s">
        <v>660</v>
      </c>
      <c r="C16" s="106" t="s">
        <v>661</v>
      </c>
      <c r="D16" s="107" t="s">
        <v>662</v>
      </c>
      <c r="E16" s="108" t="s">
        <v>663</v>
      </c>
      <c r="F16" s="109" t="s">
        <v>618</v>
      </c>
      <c r="G16" s="25" t="s">
        <v>664</v>
      </c>
    </row>
    <row r="17" customFormat="false" ht="19.5" hidden="false" customHeight="true" outlineLevel="0" collapsed="false">
      <c r="A17" s="22" t="s">
        <v>639</v>
      </c>
      <c r="B17" s="25" t="s">
        <v>665</v>
      </c>
      <c r="C17" s="106" t="s">
        <v>666</v>
      </c>
      <c r="D17" s="107" t="s">
        <v>667</v>
      </c>
      <c r="E17" s="108" t="s">
        <v>668</v>
      </c>
      <c r="F17" s="109" t="s">
        <v>618</v>
      </c>
      <c r="G17" s="25" t="s">
        <v>669</v>
      </c>
    </row>
    <row r="18" customFormat="false" ht="19.5" hidden="false" customHeight="true" outlineLevel="0" collapsed="false">
      <c r="A18" s="110" t="s">
        <v>670</v>
      </c>
      <c r="B18" s="111" t="s">
        <v>671</v>
      </c>
      <c r="C18" s="112" t="s">
        <v>672</v>
      </c>
      <c r="D18" s="113" t="s">
        <v>673</v>
      </c>
      <c r="E18" s="114" t="s">
        <v>674</v>
      </c>
      <c r="F18" s="115" t="s">
        <v>606</v>
      </c>
      <c r="G18" s="111" t="s">
        <v>675</v>
      </c>
    </row>
    <row r="19" customFormat="false" ht="19.5" hidden="false" customHeight="true" outlineLevel="0" collapsed="false">
      <c r="A19" s="110" t="s">
        <v>670</v>
      </c>
      <c r="B19" s="111" t="s">
        <v>676</v>
      </c>
      <c r="C19" s="112" t="s">
        <v>677</v>
      </c>
      <c r="D19" s="113" t="s">
        <v>678</v>
      </c>
      <c r="E19" s="114" t="s">
        <v>679</v>
      </c>
      <c r="F19" s="115" t="s">
        <v>618</v>
      </c>
      <c r="G19" s="111" t="s">
        <v>680</v>
      </c>
    </row>
    <row r="20" customFormat="false" ht="19.5" hidden="false" customHeight="true" outlineLevel="0" collapsed="false">
      <c r="A20" s="110" t="s">
        <v>670</v>
      </c>
      <c r="B20" s="111" t="s">
        <v>681</v>
      </c>
      <c r="C20" s="112" t="s">
        <v>682</v>
      </c>
      <c r="D20" s="113" t="s">
        <v>326</v>
      </c>
      <c r="E20" s="114" t="s">
        <v>683</v>
      </c>
      <c r="F20" s="115" t="s">
        <v>618</v>
      </c>
      <c r="G20" s="111" t="s">
        <v>684</v>
      </c>
    </row>
    <row r="21" customFormat="false" ht="19.5" hidden="false" customHeight="true" outlineLevel="0" collapsed="false">
      <c r="A21" s="110" t="s">
        <v>670</v>
      </c>
      <c r="B21" s="111" t="s">
        <v>685</v>
      </c>
      <c r="C21" s="112" t="s">
        <v>686</v>
      </c>
      <c r="D21" s="113" t="s">
        <v>687</v>
      </c>
      <c r="E21" s="114" t="s">
        <v>688</v>
      </c>
      <c r="F21" s="115" t="s">
        <v>612</v>
      </c>
      <c r="G21" s="111" t="s">
        <v>689</v>
      </c>
    </row>
    <row r="22" customFormat="false" ht="19.5" hidden="false" customHeight="true" outlineLevel="0" collapsed="false">
      <c r="A22" s="26" t="s">
        <v>690</v>
      </c>
      <c r="B22" s="29" t="s">
        <v>691</v>
      </c>
      <c r="C22" s="116" t="s">
        <v>692</v>
      </c>
      <c r="D22" s="117" t="s">
        <v>693</v>
      </c>
      <c r="E22" s="118" t="s">
        <v>694</v>
      </c>
      <c r="F22" s="119" t="s">
        <v>606</v>
      </c>
      <c r="G22" s="29" t="s">
        <v>695</v>
      </c>
    </row>
    <row r="23" customFormat="false" ht="19.5" hidden="false" customHeight="true" outlineLevel="0" collapsed="false">
      <c r="A23" s="26" t="s">
        <v>690</v>
      </c>
      <c r="B23" s="29" t="s">
        <v>696</v>
      </c>
      <c r="C23" s="116" t="s">
        <v>697</v>
      </c>
      <c r="D23" s="117" t="s">
        <v>698</v>
      </c>
      <c r="E23" s="118" t="s">
        <v>699</v>
      </c>
      <c r="F23" s="119" t="s">
        <v>618</v>
      </c>
      <c r="G23" s="29" t="s">
        <v>700</v>
      </c>
    </row>
    <row r="24" customFormat="false" ht="19.5" hidden="false" customHeight="true" outlineLevel="0" collapsed="false">
      <c r="A24" s="26" t="s">
        <v>690</v>
      </c>
      <c r="B24" s="29" t="s">
        <v>701</v>
      </c>
      <c r="C24" s="116" t="s">
        <v>702</v>
      </c>
      <c r="D24" s="117" t="s">
        <v>703</v>
      </c>
      <c r="E24" s="118" t="s">
        <v>704</v>
      </c>
      <c r="F24" s="119" t="s">
        <v>618</v>
      </c>
      <c r="G24" s="29" t="s">
        <v>705</v>
      </c>
    </row>
    <row r="25" customFormat="false" ht="19.5" hidden="false" customHeight="true" outlineLevel="0" collapsed="false">
      <c r="A25" s="26" t="s">
        <v>690</v>
      </c>
      <c r="B25" s="29" t="s">
        <v>706</v>
      </c>
      <c r="C25" s="116" t="s">
        <v>707</v>
      </c>
      <c r="D25" s="117" t="s">
        <v>708</v>
      </c>
      <c r="E25" s="118" t="s">
        <v>709</v>
      </c>
      <c r="F25" s="119" t="s">
        <v>606</v>
      </c>
      <c r="G25" s="29" t="s">
        <v>710</v>
      </c>
    </row>
    <row r="26" customFormat="false" ht="19.5" hidden="false" customHeight="true" outlineLevel="0" collapsed="false">
      <c r="A26" s="120" t="s">
        <v>711</v>
      </c>
      <c r="B26" s="121" t="s">
        <v>712</v>
      </c>
      <c r="C26" s="63" t="s">
        <v>713</v>
      </c>
      <c r="D26" s="60" t="s">
        <v>714</v>
      </c>
      <c r="E26" s="69" t="s">
        <v>715</v>
      </c>
      <c r="F26" s="54" t="s">
        <v>618</v>
      </c>
      <c r="G26" s="121" t="s">
        <v>716</v>
      </c>
    </row>
    <row r="27" customFormat="false" ht="19.5" hidden="false" customHeight="true" outlineLevel="0" collapsed="false">
      <c r="A27" s="120" t="s">
        <v>711</v>
      </c>
      <c r="B27" s="121" t="s">
        <v>717</v>
      </c>
      <c r="C27" s="63" t="s">
        <v>718</v>
      </c>
      <c r="D27" s="60" t="s">
        <v>719</v>
      </c>
      <c r="E27" s="69" t="s">
        <v>720</v>
      </c>
      <c r="F27" s="54" t="s">
        <v>618</v>
      </c>
      <c r="G27" s="121" t="s">
        <v>721</v>
      </c>
    </row>
    <row r="28" customFormat="false" ht="19.5" hidden="false" customHeight="true" outlineLevel="0" collapsed="false">
      <c r="A28" s="120" t="s">
        <v>711</v>
      </c>
      <c r="B28" s="121" t="s">
        <v>722</v>
      </c>
      <c r="C28" s="63" t="s">
        <v>723</v>
      </c>
      <c r="D28" s="60" t="s">
        <v>724</v>
      </c>
      <c r="E28" s="69" t="s">
        <v>725</v>
      </c>
      <c r="F28" s="54" t="s">
        <v>612</v>
      </c>
      <c r="G28" s="121" t="s">
        <v>726</v>
      </c>
    </row>
    <row r="29" customFormat="false" ht="19.5" hidden="false" customHeight="true" outlineLevel="0" collapsed="false">
      <c r="A29" s="120" t="s">
        <v>711</v>
      </c>
      <c r="B29" s="121" t="s">
        <v>727</v>
      </c>
      <c r="C29" s="63" t="s">
        <v>728</v>
      </c>
      <c r="D29" s="60" t="s">
        <v>729</v>
      </c>
      <c r="E29" s="69" t="s">
        <v>730</v>
      </c>
      <c r="F29" s="54" t="s">
        <v>612</v>
      </c>
      <c r="G29" s="121" t="s">
        <v>731</v>
      </c>
    </row>
    <row r="30" customFormat="false" ht="19.5" hidden="false" customHeight="true" outlineLevel="0" collapsed="false">
      <c r="A30" s="122" t="s">
        <v>732</v>
      </c>
      <c r="B30" s="123" t="s">
        <v>733</v>
      </c>
      <c r="C30" s="124" t="s">
        <v>734</v>
      </c>
      <c r="D30" s="125" t="s">
        <v>735</v>
      </c>
      <c r="E30" s="126" t="s">
        <v>707</v>
      </c>
      <c r="F30" s="127" t="s">
        <v>612</v>
      </c>
      <c r="G30" s="123" t="s">
        <v>736</v>
      </c>
    </row>
    <row r="31" customFormat="false" ht="19.5" hidden="false" customHeight="true" outlineLevel="0" collapsed="false">
      <c r="A31" s="122" t="s">
        <v>732</v>
      </c>
      <c r="B31" s="123" t="s">
        <v>737</v>
      </c>
      <c r="C31" s="124" t="s">
        <v>738</v>
      </c>
      <c r="D31" s="125" t="s">
        <v>739</v>
      </c>
      <c r="E31" s="126" t="s">
        <v>707</v>
      </c>
      <c r="F31" s="127" t="s">
        <v>612</v>
      </c>
      <c r="G31" s="123" t="s">
        <v>740</v>
      </c>
    </row>
    <row r="32" customFormat="false" ht="19.5" hidden="false" customHeight="true" outlineLevel="0" collapsed="false">
      <c r="A32" s="122" t="s">
        <v>732</v>
      </c>
      <c r="B32" s="123" t="s">
        <v>741</v>
      </c>
      <c r="C32" s="124" t="s">
        <v>742</v>
      </c>
      <c r="D32" s="125" t="s">
        <v>735</v>
      </c>
      <c r="E32" s="126" t="s">
        <v>707</v>
      </c>
      <c r="F32" s="127" t="s">
        <v>612</v>
      </c>
      <c r="G32" s="123"/>
    </row>
    <row r="33" customFormat="false" ht="19.5" hidden="false" customHeight="true" outlineLevel="0" collapsed="false">
      <c r="A33" s="128" t="s">
        <v>743</v>
      </c>
      <c r="B33" s="129" t="s">
        <v>744</v>
      </c>
      <c r="C33" s="130" t="s">
        <v>745</v>
      </c>
      <c r="D33" s="131" t="s">
        <v>746</v>
      </c>
      <c r="E33" s="132" t="s">
        <v>747</v>
      </c>
      <c r="F33" s="133" t="s">
        <v>612</v>
      </c>
      <c r="G33" s="129" t="s">
        <v>748</v>
      </c>
    </row>
    <row r="34" customFormat="false" ht="19.5" hidden="false" customHeight="true" outlineLevel="0" collapsed="false">
      <c r="A34" s="128" t="s">
        <v>743</v>
      </c>
      <c r="B34" s="129" t="s">
        <v>749</v>
      </c>
      <c r="C34" s="130" t="s">
        <v>750</v>
      </c>
      <c r="D34" s="131" t="s">
        <v>751</v>
      </c>
      <c r="E34" s="132" t="s">
        <v>752</v>
      </c>
      <c r="F34" s="133" t="s">
        <v>612</v>
      </c>
      <c r="G34" s="129" t="s">
        <v>753</v>
      </c>
    </row>
    <row r="35" customFormat="false" ht="19.5" hidden="false" customHeight="true" outlineLevel="0" collapsed="false">
      <c r="A35" s="128" t="s">
        <v>743</v>
      </c>
      <c r="B35" s="129" t="s">
        <v>754</v>
      </c>
      <c r="C35" s="130" t="s">
        <v>755</v>
      </c>
      <c r="D35" s="131" t="s">
        <v>756</v>
      </c>
      <c r="E35" s="132" t="s">
        <v>757</v>
      </c>
      <c r="F35" s="133" t="s">
        <v>618</v>
      </c>
      <c r="G35" s="129" t="s">
        <v>758</v>
      </c>
    </row>
    <row r="36" customFormat="false" ht="19.5" hidden="false" customHeight="true" outlineLevel="0" collapsed="false">
      <c r="A36" s="128" t="s">
        <v>743</v>
      </c>
      <c r="B36" s="129" t="s">
        <v>759</v>
      </c>
      <c r="C36" s="130" t="s">
        <v>760</v>
      </c>
      <c r="D36" s="131" t="s">
        <v>761</v>
      </c>
      <c r="E36" s="132" t="s">
        <v>762</v>
      </c>
      <c r="F36" s="133" t="s">
        <v>618</v>
      </c>
      <c r="G36" s="129" t="s">
        <v>763</v>
      </c>
    </row>
    <row r="37" customFormat="false" ht="19.5" hidden="false" customHeight="true" outlineLevel="0" collapsed="false">
      <c r="A37" s="128" t="s">
        <v>743</v>
      </c>
      <c r="B37" s="129" t="s">
        <v>764</v>
      </c>
      <c r="C37" s="130" t="s">
        <v>765</v>
      </c>
      <c r="D37" s="131" t="s">
        <v>766</v>
      </c>
      <c r="E37" s="132" t="s">
        <v>767</v>
      </c>
      <c r="F37" s="133" t="s">
        <v>768</v>
      </c>
      <c r="G37" s="129" t="s">
        <v>769</v>
      </c>
    </row>
    <row r="40" customFormat="false" ht="15" hidden="false" customHeight="true" outlineLevel="0" collapsed="false">
      <c r="A40" s="18" t="s">
        <v>770</v>
      </c>
      <c r="B40" s="18"/>
      <c r="C40" s="18"/>
      <c r="D40" s="18"/>
      <c r="E40" s="18"/>
      <c r="F40" s="18"/>
      <c r="G40" s="18"/>
    </row>
    <row r="41" customFormat="false" ht="24" hidden="false" customHeight="true" outlineLevel="0" collapsed="false">
      <c r="A41" s="134" t="s">
        <v>771</v>
      </c>
      <c r="B41" s="134" t="s">
        <v>286</v>
      </c>
      <c r="C41" s="135" t="s">
        <v>772</v>
      </c>
      <c r="D41" s="25" t="s">
        <v>773</v>
      </c>
      <c r="E41" s="25"/>
      <c r="F41" s="25"/>
      <c r="G41" s="25"/>
    </row>
    <row r="42" customFormat="false" ht="24" hidden="false" customHeight="true" outlineLevel="0" collapsed="false">
      <c r="A42" s="136" t="s">
        <v>774</v>
      </c>
      <c r="B42" s="136" t="s">
        <v>279</v>
      </c>
      <c r="C42" s="137" t="s">
        <v>775</v>
      </c>
      <c r="D42" s="111" t="s">
        <v>776</v>
      </c>
      <c r="E42" s="111"/>
      <c r="F42" s="111"/>
      <c r="G42" s="111"/>
    </row>
    <row r="43" customFormat="false" ht="24" hidden="false" customHeight="true" outlineLevel="0" collapsed="false">
      <c r="A43" s="138" t="s">
        <v>777</v>
      </c>
      <c r="B43" s="138" t="s">
        <v>318</v>
      </c>
      <c r="C43" s="139" t="s">
        <v>778</v>
      </c>
      <c r="D43" s="29" t="s">
        <v>779</v>
      </c>
      <c r="E43" s="29"/>
      <c r="F43" s="29"/>
      <c r="G43" s="29"/>
    </row>
    <row r="44" customFormat="false" ht="24" hidden="false" customHeight="true" outlineLevel="0" collapsed="false">
      <c r="A44" s="140" t="s">
        <v>780</v>
      </c>
      <c r="B44" s="140" t="s">
        <v>781</v>
      </c>
      <c r="C44" s="141" t="s">
        <v>782</v>
      </c>
      <c r="D44" s="142" t="s">
        <v>783</v>
      </c>
      <c r="E44" s="142"/>
      <c r="F44" s="142"/>
      <c r="G44" s="142"/>
    </row>
  </sheetData>
  <mergeCells count="8">
    <mergeCell ref="A1:G1"/>
    <mergeCell ref="A2:G2"/>
    <mergeCell ref="A3:G3"/>
    <mergeCell ref="A40:G40"/>
    <mergeCell ref="D41:G41"/>
    <mergeCell ref="D42:G42"/>
    <mergeCell ref="D43:G43"/>
    <mergeCell ref="D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4" min="3" style="1" width="15"/>
    <col collapsed="false" customWidth="true" hidden="false" outlineLevel="0" max="5" min="5" style="1" width="10"/>
    <col collapsed="false" customWidth="true" hidden="false" outlineLevel="0" max="7" min="6" style="1" width="16"/>
    <col collapsed="false" customWidth="true" hidden="false" outlineLevel="0" max="9" min="8" style="1" width="12"/>
    <col collapsed="false" customWidth="true" hidden="false" outlineLevel="0" max="10" min="10" style="1" width="35"/>
  </cols>
  <sheetData>
    <row r="1" customFormat="false" ht="25.5" hidden="false" customHeight="true" outlineLevel="0" collapsed="false">
      <c r="A1" s="2" t="s">
        <v>784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3.5" hidden="false" customHeight="true" outlineLevel="0" collapsed="false">
      <c r="A2" s="3" t="s">
        <v>785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0" hidden="false" customHeight="true" outlineLevel="0" collapsed="false">
      <c r="A3" s="34" t="s">
        <v>786</v>
      </c>
      <c r="B3" s="34"/>
      <c r="C3" s="34"/>
      <c r="D3" s="34"/>
      <c r="E3" s="34"/>
      <c r="F3" s="34"/>
      <c r="G3" s="34"/>
      <c r="H3" s="34"/>
      <c r="I3" s="34"/>
      <c r="J3" s="34"/>
    </row>
    <row r="4" customFormat="false" ht="19.5" hidden="false" customHeight="true" outlineLevel="0" collapsed="false">
      <c r="A4" s="21" t="s">
        <v>157</v>
      </c>
      <c r="B4" s="21" t="s">
        <v>160</v>
      </c>
      <c r="C4" s="21" t="s">
        <v>787</v>
      </c>
      <c r="D4" s="21" t="s">
        <v>788</v>
      </c>
      <c r="E4" s="21" t="s">
        <v>169</v>
      </c>
      <c r="F4" s="21" t="s">
        <v>172</v>
      </c>
      <c r="G4" s="21" t="s">
        <v>789</v>
      </c>
      <c r="H4" s="21" t="s">
        <v>178</v>
      </c>
      <c r="I4" s="21" t="s">
        <v>181</v>
      </c>
      <c r="J4" s="21" t="s">
        <v>790</v>
      </c>
    </row>
    <row r="5" customFormat="false" ht="15" hidden="false" customHeight="true" outlineLevel="0" collapsed="false">
      <c r="A5" s="32" t="s">
        <v>791</v>
      </c>
      <c r="B5" s="105" t="n">
        <v>2019</v>
      </c>
      <c r="C5" s="143" t="n">
        <v>0.082</v>
      </c>
      <c r="D5" s="143" t="n">
        <v>0.071</v>
      </c>
      <c r="E5" s="144" t="n">
        <v>1.155</v>
      </c>
      <c r="F5" s="145" t="n">
        <v>133950</v>
      </c>
      <c r="G5" s="145" t="n">
        <v>90240</v>
      </c>
      <c r="H5" s="146" t="n">
        <v>1.484</v>
      </c>
      <c r="I5" s="145" t="n">
        <v>4800</v>
      </c>
      <c r="J5" s="33" t="s">
        <v>792</v>
      </c>
    </row>
    <row r="6" customFormat="false" ht="15" hidden="false" customHeight="true" outlineLevel="0" collapsed="false">
      <c r="A6" s="32" t="s">
        <v>791</v>
      </c>
      <c r="B6" s="105" t="n">
        <v>2020</v>
      </c>
      <c r="C6" s="143" t="n">
        <v>0.088</v>
      </c>
      <c r="D6" s="143" t="n">
        <v>0.073</v>
      </c>
      <c r="E6" s="144" t="n">
        <v>1.205</v>
      </c>
      <c r="F6" s="145" t="n">
        <v>146640</v>
      </c>
      <c r="G6" s="145" t="n">
        <v>94470</v>
      </c>
      <c r="H6" s="146" t="n">
        <v>1.552</v>
      </c>
      <c r="I6" s="145" t="n">
        <v>6200</v>
      </c>
      <c r="J6" s="33" t="s">
        <v>793</v>
      </c>
    </row>
    <row r="7" customFormat="false" ht="15" hidden="false" customHeight="true" outlineLevel="0" collapsed="false">
      <c r="A7" s="32" t="s">
        <v>791</v>
      </c>
      <c r="B7" s="105" t="n">
        <v>2021</v>
      </c>
      <c r="C7" s="143" t="n">
        <v>0.094</v>
      </c>
      <c r="D7" s="143" t="n">
        <v>0.078</v>
      </c>
      <c r="E7" s="144" t="n">
        <v>1.205</v>
      </c>
      <c r="F7" s="145" t="n">
        <v>163560</v>
      </c>
      <c r="G7" s="145" t="n">
        <v>101050</v>
      </c>
      <c r="H7" s="146" t="n">
        <v>1.619</v>
      </c>
      <c r="I7" s="145" t="n">
        <v>9400</v>
      </c>
      <c r="J7" s="33" t="s">
        <v>794</v>
      </c>
    </row>
    <row r="8" customFormat="false" ht="15" hidden="false" customHeight="true" outlineLevel="0" collapsed="false">
      <c r="A8" s="32" t="s">
        <v>791</v>
      </c>
      <c r="B8" s="105" t="n">
        <v>2022</v>
      </c>
      <c r="C8" s="143" t="n">
        <v>0.101</v>
      </c>
      <c r="D8" s="143" t="n">
        <v>0.082</v>
      </c>
      <c r="E8" s="144" t="n">
        <v>1.232</v>
      </c>
      <c r="F8" s="145" t="n">
        <v>179540</v>
      </c>
      <c r="G8" s="145" t="n">
        <v>107160</v>
      </c>
      <c r="H8" s="146" t="n">
        <v>1.675</v>
      </c>
      <c r="I8" s="145" t="n">
        <v>15600</v>
      </c>
      <c r="J8" s="33" t="s">
        <v>795</v>
      </c>
    </row>
    <row r="9" customFormat="false" ht="15" hidden="false" customHeight="true" outlineLevel="0" collapsed="false">
      <c r="A9" s="32" t="s">
        <v>791</v>
      </c>
      <c r="B9" s="105" t="n">
        <v>2023</v>
      </c>
      <c r="C9" s="143" t="n">
        <v>0.108</v>
      </c>
      <c r="D9" s="143" t="n">
        <v>0.085</v>
      </c>
      <c r="E9" s="147" t="n">
        <v>1.271</v>
      </c>
      <c r="F9" s="145" t="n">
        <v>195050</v>
      </c>
      <c r="G9" s="145" t="n">
        <v>113740</v>
      </c>
      <c r="H9" s="146" t="n">
        <v>1.715</v>
      </c>
      <c r="I9" s="145" t="n">
        <v>24800</v>
      </c>
      <c r="J9" s="33" t="s">
        <v>796</v>
      </c>
    </row>
    <row r="10" customFormat="false" ht="15" hidden="false" customHeight="true" outlineLevel="0" collapsed="false">
      <c r="A10" s="24" t="s">
        <v>797</v>
      </c>
      <c r="B10" s="109" t="n">
        <v>2020</v>
      </c>
      <c r="C10" s="148" t="n">
        <v>0.091</v>
      </c>
      <c r="D10" s="148" t="n">
        <v>0.072</v>
      </c>
      <c r="E10" s="149" t="n">
        <v>1.264</v>
      </c>
      <c r="F10" s="150" t="n">
        <v>26400</v>
      </c>
      <c r="G10" s="150" t="n">
        <v>17800</v>
      </c>
      <c r="H10" s="151" t="n">
        <v>1.483</v>
      </c>
      <c r="I10" s="150" t="n">
        <v>2200</v>
      </c>
      <c r="J10" s="25" t="s">
        <v>798</v>
      </c>
    </row>
    <row r="11" customFormat="false" ht="15" hidden="false" customHeight="true" outlineLevel="0" collapsed="false">
      <c r="A11" s="24" t="s">
        <v>797</v>
      </c>
      <c r="B11" s="109" t="n">
        <v>2021</v>
      </c>
      <c r="C11" s="148" t="n">
        <v>0.098</v>
      </c>
      <c r="D11" s="148" t="n">
        <v>0.075</v>
      </c>
      <c r="E11" s="149" t="n">
        <v>1.307</v>
      </c>
      <c r="F11" s="150" t="n">
        <v>29800</v>
      </c>
      <c r="G11" s="150" t="n">
        <v>18600</v>
      </c>
      <c r="H11" s="151" t="n">
        <v>1.602</v>
      </c>
      <c r="I11" s="150" t="n">
        <v>3800</v>
      </c>
      <c r="J11" s="25" t="s">
        <v>799</v>
      </c>
    </row>
    <row r="12" customFormat="false" ht="15" hidden="false" customHeight="true" outlineLevel="0" collapsed="false">
      <c r="A12" s="24" t="s">
        <v>797</v>
      </c>
      <c r="B12" s="109" t="n">
        <v>2022</v>
      </c>
      <c r="C12" s="148" t="n">
        <v>0.105</v>
      </c>
      <c r="D12" s="148" t="n">
        <v>0.078</v>
      </c>
      <c r="E12" s="149" t="n">
        <v>1.346</v>
      </c>
      <c r="F12" s="150" t="n">
        <v>33200</v>
      </c>
      <c r="G12" s="150" t="n">
        <v>19400</v>
      </c>
      <c r="H12" s="151" t="n">
        <v>1.711</v>
      </c>
      <c r="I12" s="150" t="n">
        <v>6100</v>
      </c>
      <c r="J12" s="25" t="s">
        <v>800</v>
      </c>
    </row>
    <row r="13" customFormat="false" ht="15" hidden="false" customHeight="true" outlineLevel="0" collapsed="false">
      <c r="A13" s="24" t="s">
        <v>797</v>
      </c>
      <c r="B13" s="109" t="n">
        <v>2023</v>
      </c>
      <c r="C13" s="148" t="n">
        <v>0.112</v>
      </c>
      <c r="D13" s="148" t="n">
        <v>0.081</v>
      </c>
      <c r="E13" s="149" t="n">
        <v>1.383</v>
      </c>
      <c r="F13" s="150" t="n">
        <v>36800</v>
      </c>
      <c r="G13" s="150" t="n">
        <v>21200</v>
      </c>
      <c r="H13" s="151" t="n">
        <v>1.736</v>
      </c>
      <c r="I13" s="150" t="n">
        <v>9800</v>
      </c>
      <c r="J13" s="25" t="s">
        <v>801</v>
      </c>
    </row>
    <row r="14" customFormat="false" ht="15" hidden="false" customHeight="true" outlineLevel="0" collapsed="false">
      <c r="A14" s="152" t="s">
        <v>802</v>
      </c>
      <c r="B14" s="115" t="n">
        <v>2020</v>
      </c>
      <c r="C14" s="153" t="n">
        <v>0.084</v>
      </c>
      <c r="D14" s="153" t="n">
        <v>0.07</v>
      </c>
      <c r="E14" s="154" t="n">
        <v>1.2</v>
      </c>
      <c r="F14" s="155" t="n">
        <v>22800</v>
      </c>
      <c r="G14" s="155" t="n">
        <v>15600</v>
      </c>
      <c r="H14" s="156" t="n">
        <v>1.462</v>
      </c>
      <c r="I14" s="155" t="n">
        <v>1800</v>
      </c>
      <c r="J14" s="111" t="s">
        <v>803</v>
      </c>
    </row>
    <row r="15" customFormat="false" ht="15" hidden="false" customHeight="true" outlineLevel="0" collapsed="false">
      <c r="A15" s="152" t="s">
        <v>802</v>
      </c>
      <c r="B15" s="115" t="n">
        <v>2021</v>
      </c>
      <c r="C15" s="153" t="n">
        <v>0.09</v>
      </c>
      <c r="D15" s="153" t="n">
        <v>0.072</v>
      </c>
      <c r="E15" s="154" t="n">
        <v>1.25</v>
      </c>
      <c r="F15" s="155" t="n">
        <v>25600</v>
      </c>
      <c r="G15" s="155" t="n">
        <v>16400</v>
      </c>
      <c r="H15" s="156" t="n">
        <v>1.561</v>
      </c>
      <c r="I15" s="155" t="n">
        <v>3200</v>
      </c>
      <c r="J15" s="111" t="s">
        <v>804</v>
      </c>
    </row>
    <row r="16" customFormat="false" ht="15" hidden="false" customHeight="true" outlineLevel="0" collapsed="false">
      <c r="A16" s="152" t="s">
        <v>802</v>
      </c>
      <c r="B16" s="115" t="n">
        <v>2022</v>
      </c>
      <c r="C16" s="153" t="n">
        <v>0.096</v>
      </c>
      <c r="D16" s="153" t="n">
        <v>0.075</v>
      </c>
      <c r="E16" s="157" t="n">
        <v>1.28</v>
      </c>
      <c r="F16" s="155" t="n">
        <v>28400</v>
      </c>
      <c r="G16" s="155" t="n">
        <v>17200</v>
      </c>
      <c r="H16" s="156" t="n">
        <v>1.651</v>
      </c>
      <c r="I16" s="155" t="n">
        <v>5600</v>
      </c>
      <c r="J16" s="111" t="s">
        <v>805</v>
      </c>
    </row>
    <row r="17" customFormat="false" ht="15" hidden="false" customHeight="true" outlineLevel="0" collapsed="false">
      <c r="A17" s="152" t="s">
        <v>802</v>
      </c>
      <c r="B17" s="115" t="n">
        <v>2023</v>
      </c>
      <c r="C17" s="153" t="n">
        <v>0.102</v>
      </c>
      <c r="D17" s="153" t="n">
        <v>0.078</v>
      </c>
      <c r="E17" s="157" t="n">
        <v>1.308</v>
      </c>
      <c r="F17" s="155" t="n">
        <v>31200</v>
      </c>
      <c r="G17" s="155" t="n">
        <v>18400</v>
      </c>
      <c r="H17" s="156" t="n">
        <v>1.696</v>
      </c>
      <c r="I17" s="155" t="n">
        <v>8900</v>
      </c>
      <c r="J17" s="111" t="s">
        <v>806</v>
      </c>
    </row>
    <row r="18" customFormat="false" ht="15" hidden="false" customHeight="true" outlineLevel="0" collapsed="false">
      <c r="A18" s="158" t="s">
        <v>807</v>
      </c>
      <c r="B18" s="127" t="n">
        <v>2020</v>
      </c>
      <c r="C18" s="159" t="n">
        <v>0.074</v>
      </c>
      <c r="D18" s="159" t="n">
        <v>0.071</v>
      </c>
      <c r="E18" s="160" t="n">
        <v>1.042</v>
      </c>
      <c r="F18" s="161" t="n">
        <v>19800</v>
      </c>
      <c r="G18" s="161" t="n">
        <v>16200</v>
      </c>
      <c r="H18" s="160" t="n">
        <v>1.222</v>
      </c>
      <c r="I18" s="161" t="n">
        <v>12400</v>
      </c>
      <c r="J18" s="123" t="s">
        <v>808</v>
      </c>
    </row>
    <row r="19" customFormat="false" ht="15" hidden="false" customHeight="true" outlineLevel="0" collapsed="false">
      <c r="A19" s="158" t="s">
        <v>807</v>
      </c>
      <c r="B19" s="127" t="n">
        <v>2021</v>
      </c>
      <c r="C19" s="159" t="n">
        <v>0.076</v>
      </c>
      <c r="D19" s="159" t="n">
        <v>0.073</v>
      </c>
      <c r="E19" s="160" t="n">
        <v>1.041</v>
      </c>
      <c r="F19" s="161" t="n">
        <v>21400</v>
      </c>
      <c r="G19" s="161" t="n">
        <v>16800</v>
      </c>
      <c r="H19" s="160" t="n">
        <v>1.274</v>
      </c>
      <c r="I19" s="161" t="n">
        <v>18600</v>
      </c>
      <c r="J19" s="123" t="s">
        <v>809</v>
      </c>
    </row>
    <row r="20" customFormat="false" ht="15" hidden="false" customHeight="true" outlineLevel="0" collapsed="false">
      <c r="A20" s="158" t="s">
        <v>807</v>
      </c>
      <c r="B20" s="127" t="n">
        <v>2022</v>
      </c>
      <c r="C20" s="159" t="n">
        <v>0.078</v>
      </c>
      <c r="D20" s="159" t="n">
        <v>0.074</v>
      </c>
      <c r="E20" s="160" t="n">
        <v>1.054</v>
      </c>
      <c r="F20" s="161" t="n">
        <v>22800</v>
      </c>
      <c r="G20" s="161" t="n">
        <v>17200</v>
      </c>
      <c r="H20" s="160" t="n">
        <v>1.326</v>
      </c>
      <c r="I20" s="161" t="n">
        <v>28400</v>
      </c>
      <c r="J20" s="123" t="s">
        <v>810</v>
      </c>
    </row>
    <row r="21" customFormat="false" ht="15" hidden="false" customHeight="true" outlineLevel="0" collapsed="false">
      <c r="A21" s="158" t="s">
        <v>807</v>
      </c>
      <c r="B21" s="127" t="n">
        <v>2023</v>
      </c>
      <c r="C21" s="159" t="n">
        <v>0.079</v>
      </c>
      <c r="D21" s="159" t="n">
        <v>0.075</v>
      </c>
      <c r="E21" s="160" t="n">
        <v>1.053</v>
      </c>
      <c r="F21" s="161" t="n">
        <v>23600</v>
      </c>
      <c r="G21" s="161" t="n">
        <v>17600</v>
      </c>
      <c r="H21" s="160" t="n">
        <v>1.341</v>
      </c>
      <c r="I21" s="161" t="n">
        <v>42000</v>
      </c>
      <c r="J21" s="123" t="s">
        <v>811</v>
      </c>
    </row>
    <row r="22" customFormat="false" ht="15" hidden="false" customHeight="true" outlineLevel="0" collapsed="false">
      <c r="A22" s="28" t="s">
        <v>812</v>
      </c>
      <c r="B22" s="119" t="n">
        <v>2020</v>
      </c>
      <c r="C22" s="162" t="n">
        <v>0.08</v>
      </c>
      <c r="D22" s="162" t="n">
        <v>0.072</v>
      </c>
      <c r="E22" s="163" t="n">
        <v>1.111</v>
      </c>
      <c r="F22" s="164" t="n">
        <v>12400</v>
      </c>
      <c r="G22" s="164" t="n">
        <v>9600</v>
      </c>
      <c r="H22" s="163" t="n">
        <v>1.292</v>
      </c>
      <c r="I22" s="164" t="n">
        <v>35000</v>
      </c>
      <c r="J22" s="29" t="s">
        <v>813</v>
      </c>
    </row>
    <row r="23" customFormat="false" ht="15" hidden="false" customHeight="true" outlineLevel="0" collapsed="false">
      <c r="A23" s="28" t="s">
        <v>812</v>
      </c>
      <c r="B23" s="119" t="n">
        <v>2021</v>
      </c>
      <c r="C23" s="162" t="n">
        <v>0.084</v>
      </c>
      <c r="D23" s="162" t="n">
        <v>0.075</v>
      </c>
      <c r="E23" s="163" t="n">
        <v>1.12</v>
      </c>
      <c r="F23" s="164" t="n">
        <v>13200</v>
      </c>
      <c r="G23" s="164" t="n">
        <v>10100</v>
      </c>
      <c r="H23" s="163" t="n">
        <v>1.307</v>
      </c>
      <c r="I23" s="164" t="n">
        <v>48000</v>
      </c>
      <c r="J23" s="29" t="s">
        <v>814</v>
      </c>
    </row>
    <row r="24" customFormat="false" ht="15" hidden="false" customHeight="true" outlineLevel="0" collapsed="false">
      <c r="A24" s="28" t="s">
        <v>812</v>
      </c>
      <c r="B24" s="119" t="n">
        <v>2022</v>
      </c>
      <c r="C24" s="162" t="n">
        <v>0.088</v>
      </c>
      <c r="D24" s="162" t="n">
        <v>0.078</v>
      </c>
      <c r="E24" s="163" t="n">
        <v>1.128</v>
      </c>
      <c r="F24" s="164" t="n">
        <v>14100</v>
      </c>
      <c r="G24" s="164" t="n">
        <v>10800</v>
      </c>
      <c r="H24" s="163" t="n">
        <v>1.306</v>
      </c>
      <c r="I24" s="164" t="n">
        <v>72000</v>
      </c>
      <c r="J24" s="29" t="s">
        <v>815</v>
      </c>
    </row>
    <row r="25" customFormat="false" ht="15" hidden="false" customHeight="true" outlineLevel="0" collapsed="false">
      <c r="A25" s="28" t="s">
        <v>812</v>
      </c>
      <c r="B25" s="119" t="n">
        <v>2023</v>
      </c>
      <c r="C25" s="162" t="n">
        <v>0.091</v>
      </c>
      <c r="D25" s="162" t="n">
        <v>0.08</v>
      </c>
      <c r="E25" s="163" t="n">
        <v>1.137</v>
      </c>
      <c r="F25" s="164" t="n">
        <v>14800</v>
      </c>
      <c r="G25" s="164" t="n">
        <v>11200</v>
      </c>
      <c r="H25" s="163" t="n">
        <v>1.321</v>
      </c>
      <c r="I25" s="164" t="n">
        <v>95000</v>
      </c>
      <c r="J25" s="29" t="s">
        <v>816</v>
      </c>
    </row>
    <row r="26" customFormat="false" ht="15" hidden="false" customHeight="true" outlineLevel="0" collapsed="false">
      <c r="A26" s="165" t="s">
        <v>817</v>
      </c>
      <c r="B26" s="133" t="n">
        <v>2021</v>
      </c>
      <c r="C26" s="166" t="n">
        <v>0.085</v>
      </c>
      <c r="D26" s="166" t="n">
        <v>0.07</v>
      </c>
      <c r="E26" s="167" t="n">
        <v>1.214</v>
      </c>
      <c r="F26" s="168" t="n">
        <v>18600</v>
      </c>
      <c r="G26" s="168" t="n">
        <v>14200</v>
      </c>
      <c r="H26" s="169" t="n">
        <v>1.31</v>
      </c>
      <c r="I26" s="168" t="n">
        <v>650</v>
      </c>
      <c r="J26" s="129" t="s">
        <v>818</v>
      </c>
    </row>
    <row r="27" customFormat="false" ht="15" hidden="false" customHeight="true" outlineLevel="0" collapsed="false">
      <c r="A27" s="165" t="s">
        <v>817</v>
      </c>
      <c r="B27" s="133" t="n">
        <v>2022</v>
      </c>
      <c r="C27" s="166" t="n">
        <v>0.092</v>
      </c>
      <c r="D27" s="166" t="n">
        <v>0.074</v>
      </c>
      <c r="E27" s="167" t="n">
        <v>1.243</v>
      </c>
      <c r="F27" s="168" t="n">
        <v>21200</v>
      </c>
      <c r="G27" s="168" t="n">
        <v>15800</v>
      </c>
      <c r="H27" s="169" t="n">
        <v>1.342</v>
      </c>
      <c r="I27" s="168" t="n">
        <v>1200</v>
      </c>
      <c r="J27" s="129" t="s">
        <v>819</v>
      </c>
    </row>
    <row r="28" customFormat="false" ht="15" hidden="false" customHeight="true" outlineLevel="0" collapsed="false">
      <c r="A28" s="165" t="s">
        <v>817</v>
      </c>
      <c r="B28" s="133" t="n">
        <v>2023</v>
      </c>
      <c r="C28" s="166" t="n">
        <v>0.098</v>
      </c>
      <c r="D28" s="166" t="n">
        <v>0.077</v>
      </c>
      <c r="E28" s="170" t="n">
        <v>1.273</v>
      </c>
      <c r="F28" s="168" t="n">
        <v>23800</v>
      </c>
      <c r="G28" s="168" t="n">
        <v>17200</v>
      </c>
      <c r="H28" s="169" t="n">
        <v>1.384</v>
      </c>
      <c r="I28" s="168" t="n">
        <v>2100</v>
      </c>
      <c r="J28" s="129" t="s">
        <v>820</v>
      </c>
    </row>
    <row r="29" customFormat="false" ht="15" hidden="false" customHeight="true" outlineLevel="0" collapsed="false">
      <c r="A29" s="171" t="s">
        <v>821</v>
      </c>
      <c r="B29" s="172" t="n">
        <v>2022</v>
      </c>
      <c r="C29" s="173" t="n">
        <v>0.09</v>
      </c>
      <c r="D29" s="173" t="n">
        <v>0.076</v>
      </c>
      <c r="E29" s="174" t="n">
        <v>1.184</v>
      </c>
      <c r="F29" s="175" t="n">
        <v>22400</v>
      </c>
      <c r="G29" s="175" t="n">
        <v>16800</v>
      </c>
      <c r="H29" s="176" t="n">
        <v>1.333</v>
      </c>
      <c r="I29" s="175" t="n">
        <v>1800</v>
      </c>
      <c r="J29" s="177" t="s">
        <v>822</v>
      </c>
    </row>
    <row r="30" customFormat="false" ht="15" hidden="false" customHeight="true" outlineLevel="0" collapsed="false">
      <c r="A30" s="171" t="s">
        <v>821</v>
      </c>
      <c r="B30" s="172" t="n">
        <v>2023</v>
      </c>
      <c r="C30" s="173" t="n">
        <v>0.095</v>
      </c>
      <c r="D30" s="173" t="n">
        <v>0.079</v>
      </c>
      <c r="E30" s="174" t="n">
        <v>1.203</v>
      </c>
      <c r="F30" s="175" t="n">
        <v>24600</v>
      </c>
      <c r="G30" s="175" t="n">
        <v>18200</v>
      </c>
      <c r="H30" s="176" t="n">
        <v>1.352</v>
      </c>
      <c r="I30" s="175" t="n">
        <v>3200</v>
      </c>
      <c r="J30" s="177" t="s">
        <v>823</v>
      </c>
    </row>
    <row r="32" customFormat="false" ht="15" hidden="false" customHeight="true" outlineLevel="0" collapsed="false">
      <c r="A32" s="18" t="s">
        <v>824</v>
      </c>
      <c r="B32" s="18"/>
      <c r="C32" s="18"/>
      <c r="D32" s="18"/>
      <c r="E32" s="18"/>
      <c r="F32" s="18"/>
      <c r="G32" s="18"/>
      <c r="H32" s="18"/>
      <c r="I32" s="18"/>
      <c r="J32" s="18"/>
    </row>
    <row r="33" customFormat="false" ht="18" hidden="false" customHeight="true" outlineLevel="0" collapsed="false">
      <c r="B33" s="18" t="s">
        <v>825</v>
      </c>
      <c r="C33" s="18"/>
      <c r="D33" s="73" t="n">
        <f aca="false">AVERAGE(C5:C30)</f>
        <v>0.0908076923076923</v>
      </c>
      <c r="E33" s="73" t="n">
        <f aca="false">AVERAGE(D5:D30)</f>
        <v>0.0755384615384615</v>
      </c>
      <c r="F33" s="178" t="n">
        <f aca="false">AVERAGE(E5:E30)</f>
        <v>1.20034615384615</v>
      </c>
      <c r="G33" s="179" t="n">
        <f aca="false">AVERAGE(F5:F30)</f>
        <v>50216.9230769231</v>
      </c>
      <c r="H33" s="179" t="n">
        <f aca="false">AVERAGE(G5:G30)</f>
        <v>32421.5384615385</v>
      </c>
      <c r="I33" s="178" t="n">
        <f aca="false">AVERAGE(H5:H30)</f>
        <v>1.46373076923077</v>
      </c>
      <c r="J33" s="18"/>
      <c r="K33" s="18" t="s">
        <v>826</v>
      </c>
    </row>
  </sheetData>
  <mergeCells count="4">
    <mergeCell ref="A1:J1"/>
    <mergeCell ref="A2:J2"/>
    <mergeCell ref="A3:J3"/>
    <mergeCell ref="A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7" min="5" style="1" width="14"/>
    <col collapsed="false" customWidth="true" hidden="false" outlineLevel="0" max="9" min="8" style="1" width="30"/>
  </cols>
  <sheetData>
    <row r="1" customFormat="false" ht="25.5" hidden="false" customHeight="true" outlineLevel="0" collapsed="false">
      <c r="A1" s="2" t="s">
        <v>827</v>
      </c>
      <c r="B1" s="2"/>
      <c r="C1" s="2"/>
      <c r="D1" s="2"/>
      <c r="E1" s="2"/>
      <c r="F1" s="2"/>
      <c r="G1" s="2"/>
      <c r="H1" s="2"/>
      <c r="I1" s="2"/>
    </row>
    <row r="2" customFormat="false" ht="13.5" hidden="false" customHeight="true" outlineLevel="0" collapsed="false">
      <c r="A2" s="3" t="s">
        <v>828</v>
      </c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34" t="s">
        <v>829</v>
      </c>
      <c r="B3" s="34"/>
      <c r="C3" s="34"/>
      <c r="D3" s="34"/>
      <c r="E3" s="34"/>
      <c r="F3" s="34"/>
      <c r="G3" s="34"/>
      <c r="H3" s="34"/>
      <c r="I3" s="34"/>
    </row>
    <row r="4" customFormat="false" ht="19.5" hidden="false" customHeight="true" outlineLevel="0" collapsed="false">
      <c r="A4" s="21" t="s">
        <v>187</v>
      </c>
      <c r="B4" s="21" t="s">
        <v>830</v>
      </c>
      <c r="C4" s="21" t="s">
        <v>190</v>
      </c>
      <c r="D4" s="21" t="s">
        <v>831</v>
      </c>
      <c r="E4" s="21" t="s">
        <v>193</v>
      </c>
      <c r="F4" s="21" t="s">
        <v>196</v>
      </c>
      <c r="G4" s="21" t="s">
        <v>199</v>
      </c>
      <c r="H4" s="21" t="s">
        <v>832</v>
      </c>
      <c r="I4" s="21" t="s">
        <v>833</v>
      </c>
    </row>
    <row r="5" customFormat="false" ht="54.75" hidden="false" customHeight="true" outlineLevel="0" collapsed="false">
      <c r="A5" s="180" t="s">
        <v>189</v>
      </c>
      <c r="B5" s="181" t="s">
        <v>834</v>
      </c>
      <c r="C5" s="182" t="n">
        <v>270</v>
      </c>
      <c r="D5" s="182" t="n">
        <v>400</v>
      </c>
      <c r="E5" s="182" t="n">
        <v>110</v>
      </c>
      <c r="F5" s="183" t="n">
        <v>0.32</v>
      </c>
      <c r="G5" s="184" t="s">
        <v>286</v>
      </c>
      <c r="H5" s="181" t="s">
        <v>835</v>
      </c>
      <c r="I5" s="181" t="s">
        <v>836</v>
      </c>
    </row>
    <row r="6" customFormat="false" ht="60" hidden="false" customHeight="true" outlineLevel="0" collapsed="false">
      <c r="A6" s="185" t="s">
        <v>837</v>
      </c>
      <c r="B6" s="186" t="s">
        <v>838</v>
      </c>
      <c r="C6" s="187" t="n">
        <v>175</v>
      </c>
      <c r="D6" s="187" t="n">
        <v>600</v>
      </c>
      <c r="E6" s="187" t="n">
        <v>200</v>
      </c>
      <c r="F6" s="188" t="n">
        <v>0.45</v>
      </c>
      <c r="G6" s="189" t="s">
        <v>279</v>
      </c>
      <c r="H6" s="186" t="s">
        <v>839</v>
      </c>
      <c r="I6" s="186" t="s">
        <v>840</v>
      </c>
    </row>
    <row r="7" customFormat="false" ht="45" hidden="false" customHeight="true" outlineLevel="0" collapsed="false">
      <c r="A7" s="190" t="s">
        <v>841</v>
      </c>
      <c r="B7" s="191" t="s">
        <v>842</v>
      </c>
      <c r="C7" s="192" t="n">
        <v>150</v>
      </c>
      <c r="D7" s="192" t="n">
        <v>800</v>
      </c>
      <c r="E7" s="192" t="n">
        <v>250</v>
      </c>
      <c r="F7" s="193" t="n">
        <v>0.06</v>
      </c>
      <c r="G7" s="194" t="s">
        <v>318</v>
      </c>
      <c r="H7" s="191" t="s">
        <v>843</v>
      </c>
      <c r="I7" s="191" t="s">
        <v>844</v>
      </c>
    </row>
    <row r="8" customFormat="false" ht="49.5" hidden="false" customHeight="true" outlineLevel="0" collapsed="false">
      <c r="A8" s="195" t="s">
        <v>845</v>
      </c>
      <c r="B8" s="196" t="s">
        <v>846</v>
      </c>
      <c r="C8" s="197" t="n">
        <v>260</v>
      </c>
      <c r="D8" s="197" t="n">
        <v>420</v>
      </c>
      <c r="E8" s="197" t="n">
        <v>125</v>
      </c>
      <c r="F8" s="198" t="n">
        <v>0.08</v>
      </c>
      <c r="G8" s="199" t="s">
        <v>847</v>
      </c>
      <c r="H8" s="196" t="s">
        <v>848</v>
      </c>
      <c r="I8" s="196" t="s">
        <v>849</v>
      </c>
    </row>
    <row r="9" customFormat="false" ht="34.5" hidden="false" customHeight="true" outlineLevel="0" collapsed="false">
      <c r="A9" s="200" t="s">
        <v>850</v>
      </c>
      <c r="B9" s="201" t="s">
        <v>851</v>
      </c>
      <c r="C9" s="202" t="n">
        <v>350</v>
      </c>
      <c r="D9" s="202" t="n">
        <v>500</v>
      </c>
      <c r="E9" s="202" t="n">
        <v>400</v>
      </c>
      <c r="F9" s="203" t="n">
        <v>0</v>
      </c>
      <c r="G9" s="204" t="s">
        <v>852</v>
      </c>
      <c r="H9" s="201" t="s">
        <v>853</v>
      </c>
      <c r="I9" s="201" t="s">
        <v>854</v>
      </c>
    </row>
    <row r="11" customFormat="false" ht="15" hidden="false" customHeight="true" outlineLevel="0" collapsed="false">
      <c r="A11" s="5" t="s">
        <v>855</v>
      </c>
      <c r="B11" s="5"/>
      <c r="C11" s="5"/>
      <c r="D11" s="5"/>
      <c r="E11" s="5"/>
      <c r="F11" s="5"/>
      <c r="G11" s="5"/>
      <c r="H11" s="5"/>
      <c r="I11" s="5"/>
    </row>
    <row r="12" customFormat="false" ht="15" hidden="false" customHeight="true" outlineLevel="0" collapsed="false">
      <c r="A12" s="205" t="s">
        <v>856</v>
      </c>
      <c r="B12" s="206" t="n">
        <f aca="false">SUM(F5:F9)</f>
        <v>0.91</v>
      </c>
      <c r="C12" s="207" t="s">
        <v>857</v>
      </c>
      <c r="D12" s="207"/>
      <c r="E12" s="207"/>
      <c r="F12" s="207"/>
      <c r="G12" s="207"/>
      <c r="H12" s="207"/>
      <c r="I12" s="207"/>
    </row>
  </sheetData>
  <mergeCells count="5">
    <mergeCell ref="A1:I1"/>
    <mergeCell ref="A2:I2"/>
    <mergeCell ref="A3:I3"/>
    <mergeCell ref="A11:I11"/>
    <mergeCell ref="C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7" min="6" style="1" width="18"/>
    <col collapsed="false" customWidth="true" hidden="false" outlineLevel="0" max="9" min="8" style="1" width="14"/>
  </cols>
  <sheetData>
    <row r="1" customFormat="false" ht="25.5" hidden="false" customHeight="true" outlineLevel="0" collapsed="false">
      <c r="A1" s="2" t="s">
        <v>858</v>
      </c>
      <c r="B1" s="2"/>
      <c r="C1" s="2"/>
      <c r="D1" s="2"/>
      <c r="E1" s="2"/>
      <c r="F1" s="2"/>
      <c r="G1" s="2"/>
      <c r="H1" s="2"/>
      <c r="I1" s="2"/>
    </row>
    <row r="2" customFormat="false" ht="13.5" hidden="false" customHeight="true" outlineLevel="0" collapsed="false">
      <c r="A2" s="3" t="s">
        <v>859</v>
      </c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34" t="s">
        <v>860</v>
      </c>
      <c r="B3" s="34"/>
      <c r="C3" s="34"/>
      <c r="D3" s="34"/>
      <c r="E3" s="34"/>
      <c r="F3" s="34"/>
      <c r="G3" s="34"/>
      <c r="H3" s="34"/>
      <c r="I3" s="34"/>
    </row>
    <row r="4" customFormat="false" ht="19.5" hidden="false" customHeight="true" outlineLevel="0" collapsed="false">
      <c r="A4" s="21" t="s">
        <v>205</v>
      </c>
      <c r="B4" s="21" t="s">
        <v>207</v>
      </c>
      <c r="C4" s="21" t="s">
        <v>209</v>
      </c>
      <c r="D4" s="21" t="s">
        <v>212</v>
      </c>
      <c r="E4" s="21" t="s">
        <v>215</v>
      </c>
      <c r="F4" s="21" t="s">
        <v>218</v>
      </c>
      <c r="G4" s="21" t="s">
        <v>221</v>
      </c>
      <c r="H4" s="21" t="s">
        <v>861</v>
      </c>
      <c r="I4" s="21" t="s">
        <v>224</v>
      </c>
    </row>
    <row r="5" customFormat="false" ht="18" hidden="false" customHeight="true" outlineLevel="0" collapsed="false">
      <c r="A5" s="22" t="s">
        <v>862</v>
      </c>
      <c r="B5" s="24" t="s">
        <v>863</v>
      </c>
      <c r="C5" s="24" t="s">
        <v>189</v>
      </c>
      <c r="D5" s="208" t="n">
        <v>60.48</v>
      </c>
      <c r="E5" s="209" t="n">
        <v>480</v>
      </c>
      <c r="F5" s="210" t="n">
        <v>52000</v>
      </c>
      <c r="G5" s="211" t="n">
        <v>148000</v>
      </c>
      <c r="H5" s="212" t="n">
        <v>0.24</v>
      </c>
      <c r="I5" s="211" t="n">
        <v>2430</v>
      </c>
    </row>
    <row r="6" customFormat="false" ht="18" hidden="false" customHeight="true" outlineLevel="0" collapsed="false">
      <c r="A6" s="22" t="s">
        <v>862</v>
      </c>
      <c r="B6" s="24" t="s">
        <v>864</v>
      </c>
      <c r="C6" s="24" t="s">
        <v>189</v>
      </c>
      <c r="D6" s="208" t="n">
        <v>44.9</v>
      </c>
      <c r="E6" s="209" t="n">
        <v>340</v>
      </c>
      <c r="F6" s="210" t="n">
        <v>38000</v>
      </c>
      <c r="G6" s="211" t="n">
        <v>109800</v>
      </c>
      <c r="H6" s="212" t="n">
        <v>0.1</v>
      </c>
      <c r="I6" s="211" t="n">
        <v>1010</v>
      </c>
    </row>
    <row r="7" customFormat="false" ht="18" hidden="false" customHeight="true" outlineLevel="0" collapsed="false">
      <c r="A7" s="110" t="s">
        <v>865</v>
      </c>
      <c r="B7" s="152" t="s">
        <v>866</v>
      </c>
      <c r="C7" s="152" t="s">
        <v>837</v>
      </c>
      <c r="D7" s="213" t="n">
        <v>82</v>
      </c>
      <c r="E7" s="214" t="n">
        <v>629</v>
      </c>
      <c r="F7" s="215" t="n">
        <v>85000</v>
      </c>
      <c r="G7" s="216" t="n">
        <v>218880</v>
      </c>
      <c r="H7" s="217" t="n">
        <v>0.15</v>
      </c>
      <c r="I7" s="216" t="n">
        <v>1517</v>
      </c>
    </row>
    <row r="8" customFormat="false" ht="18" hidden="false" customHeight="true" outlineLevel="0" collapsed="false">
      <c r="A8" s="26" t="s">
        <v>865</v>
      </c>
      <c r="B8" s="28" t="s">
        <v>867</v>
      </c>
      <c r="C8" s="28" t="s">
        <v>841</v>
      </c>
      <c r="D8" s="218" t="n">
        <v>82</v>
      </c>
      <c r="E8" s="219" t="n">
        <v>547</v>
      </c>
      <c r="F8" s="220" t="n">
        <v>92000</v>
      </c>
      <c r="G8" s="221" t="n">
        <v>247480</v>
      </c>
      <c r="H8" s="222" t="n">
        <v>0.05</v>
      </c>
      <c r="I8" s="221" t="n">
        <v>506</v>
      </c>
    </row>
    <row r="9" customFormat="false" ht="18" hidden="false" customHeight="true" outlineLevel="0" collapsed="false">
      <c r="A9" s="110" t="s">
        <v>361</v>
      </c>
      <c r="B9" s="152" t="s">
        <v>868</v>
      </c>
      <c r="C9" s="152" t="s">
        <v>837</v>
      </c>
      <c r="D9" s="213" t="n">
        <v>77.4</v>
      </c>
      <c r="E9" s="214" t="n">
        <v>481</v>
      </c>
      <c r="F9" s="215" t="n">
        <v>72000</v>
      </c>
      <c r="G9" s="216" t="n">
        <v>199988</v>
      </c>
      <c r="H9" s="217" t="n">
        <v>0.12</v>
      </c>
      <c r="I9" s="216" t="n">
        <v>1213</v>
      </c>
    </row>
    <row r="10" customFormat="false" ht="18" hidden="false" customHeight="true" outlineLevel="0" collapsed="false">
      <c r="A10" s="110" t="s">
        <v>400</v>
      </c>
      <c r="B10" s="152" t="s">
        <v>869</v>
      </c>
      <c r="C10" s="152" t="s">
        <v>837</v>
      </c>
      <c r="D10" s="213" t="n">
        <v>105.2</v>
      </c>
      <c r="E10" s="214" t="n">
        <v>630</v>
      </c>
      <c r="F10" s="215" t="n">
        <v>115000</v>
      </c>
      <c r="G10" s="216" t="n">
        <v>461800</v>
      </c>
      <c r="H10" s="217" t="n">
        <v>0.04</v>
      </c>
      <c r="I10" s="216" t="n">
        <v>404</v>
      </c>
    </row>
    <row r="11" customFormat="false" ht="18" hidden="false" customHeight="true" outlineLevel="0" collapsed="false">
      <c r="A11" s="110" t="s">
        <v>870</v>
      </c>
      <c r="B11" s="152" t="s">
        <v>871</v>
      </c>
      <c r="C11" s="152" t="s">
        <v>837</v>
      </c>
      <c r="D11" s="213" t="n">
        <v>69</v>
      </c>
      <c r="E11" s="214" t="n">
        <v>423</v>
      </c>
      <c r="F11" s="215" t="n">
        <v>65000</v>
      </c>
      <c r="G11" s="216" t="n">
        <v>238888</v>
      </c>
      <c r="H11" s="217" t="n">
        <v>0.06</v>
      </c>
      <c r="I11" s="216" t="n">
        <v>607</v>
      </c>
    </row>
    <row r="12" customFormat="false" ht="18" hidden="false" customHeight="true" outlineLevel="0" collapsed="false">
      <c r="A12" s="110" t="s">
        <v>496</v>
      </c>
      <c r="B12" s="152" t="s">
        <v>872</v>
      </c>
      <c r="C12" s="152" t="s">
        <v>837</v>
      </c>
      <c r="D12" s="213" t="n">
        <v>107.8</v>
      </c>
      <c r="E12" s="214" t="n">
        <v>770</v>
      </c>
      <c r="F12" s="215" t="n">
        <v>140000</v>
      </c>
      <c r="G12" s="216" t="n">
        <v>604888</v>
      </c>
      <c r="H12" s="217" t="n">
        <v>0.03</v>
      </c>
      <c r="I12" s="216" t="n">
        <v>303</v>
      </c>
    </row>
    <row r="13" customFormat="false" ht="18" hidden="false" customHeight="true" outlineLevel="0" collapsed="false">
      <c r="A13" s="22" t="s">
        <v>873</v>
      </c>
      <c r="B13" s="24" t="s">
        <v>874</v>
      </c>
      <c r="C13" s="24" t="s">
        <v>189</v>
      </c>
      <c r="D13" s="208" t="n">
        <v>61</v>
      </c>
      <c r="E13" s="209" t="n">
        <v>430</v>
      </c>
      <c r="F13" s="210" t="n">
        <v>42000</v>
      </c>
      <c r="G13" s="211" t="n">
        <v>139800</v>
      </c>
      <c r="H13" s="212" t="n">
        <v>0.08</v>
      </c>
      <c r="I13" s="211" t="n">
        <v>809</v>
      </c>
    </row>
    <row r="14" customFormat="false" ht="18" hidden="false" customHeight="true" outlineLevel="0" collapsed="false">
      <c r="A14" s="22" t="s">
        <v>875</v>
      </c>
      <c r="B14" s="24" t="s">
        <v>876</v>
      </c>
      <c r="C14" s="24" t="s">
        <v>189</v>
      </c>
      <c r="D14" s="208" t="n">
        <v>48</v>
      </c>
      <c r="E14" s="209" t="n">
        <v>400</v>
      </c>
      <c r="F14" s="210" t="n">
        <v>36000</v>
      </c>
      <c r="G14" s="211" t="n">
        <v>99800</v>
      </c>
      <c r="H14" s="212" t="n">
        <v>0.04</v>
      </c>
      <c r="I14" s="211" t="n">
        <v>404</v>
      </c>
    </row>
    <row r="15" customFormat="false" ht="18" hidden="false" customHeight="true" outlineLevel="0" collapsed="false">
      <c r="A15" s="110" t="s">
        <v>877</v>
      </c>
      <c r="B15" s="152" t="s">
        <v>878</v>
      </c>
      <c r="C15" s="152" t="s">
        <v>837</v>
      </c>
      <c r="D15" s="213" t="n">
        <v>64</v>
      </c>
      <c r="E15" s="214" t="n">
        <v>435</v>
      </c>
      <c r="F15" s="215" t="n">
        <v>58000</v>
      </c>
      <c r="G15" s="216" t="n">
        <v>119800</v>
      </c>
      <c r="H15" s="217" t="n">
        <v>0.06</v>
      </c>
      <c r="I15" s="216" t="n">
        <v>607</v>
      </c>
    </row>
    <row r="16" customFormat="false" ht="18" hidden="false" customHeight="true" outlineLevel="0" collapsed="false">
      <c r="A16" s="110" t="s">
        <v>290</v>
      </c>
      <c r="B16" s="152" t="s">
        <v>879</v>
      </c>
      <c r="C16" s="152" t="s">
        <v>837</v>
      </c>
      <c r="D16" s="213" t="n">
        <v>59</v>
      </c>
      <c r="E16" s="214" t="n">
        <v>385</v>
      </c>
      <c r="F16" s="215" t="n">
        <v>52000</v>
      </c>
      <c r="G16" s="216" t="n">
        <v>164888</v>
      </c>
      <c r="H16" s="217" t="n">
        <v>0.03</v>
      </c>
      <c r="I16" s="216" t="n">
        <v>303</v>
      </c>
    </row>
    <row r="18" customFormat="false" ht="15" hidden="false" customHeight="true" outlineLevel="0" collapsed="false">
      <c r="A18" s="18" t="s">
        <v>880</v>
      </c>
      <c r="B18" s="18"/>
      <c r="C18" s="18"/>
      <c r="D18" s="18"/>
      <c r="E18" s="18"/>
      <c r="F18" s="18"/>
      <c r="G18" s="18"/>
      <c r="H18" s="18"/>
      <c r="I18" s="18"/>
    </row>
    <row r="19" customFormat="false" ht="18" hidden="false" customHeight="true" outlineLevel="0" collapsed="false">
      <c r="A19" s="223"/>
      <c r="B19" s="223"/>
      <c r="C19" s="223"/>
      <c r="D19" s="224" t="n">
        <f aca="false">AVERAGE(D5:D16)</f>
        <v>71.7316666666667</v>
      </c>
      <c r="E19" s="225" t="n">
        <f aca="false">AVERAGE(E5:E16)</f>
        <v>495.833333333333</v>
      </c>
      <c r="F19" s="226" t="n">
        <f aca="false">AVERAGE(F5:F16)</f>
        <v>70583.3333333333</v>
      </c>
      <c r="G19" s="226" t="n">
        <f aca="false">AVERAGE(G5:G16)</f>
        <v>229501</v>
      </c>
      <c r="H19" s="227" t="n">
        <f aca="false">SUM(H5:H16)</f>
        <v>1</v>
      </c>
      <c r="I19" s="226" t="n">
        <f aca="false">SUM(I5:I16)</f>
        <v>10113</v>
      </c>
    </row>
  </sheetData>
  <mergeCells count="4">
    <mergeCell ref="A1:I1"/>
    <mergeCell ref="A2:I2"/>
    <mergeCell ref="A3:I3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8" min="7" style="1" width="16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4"/>
  </cols>
  <sheetData>
    <row r="1" customFormat="false" ht="25.5" hidden="false" customHeight="true" outlineLevel="0" collapsed="false">
      <c r="A1" s="2" t="s">
        <v>881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3.5" hidden="false" customHeight="true" outlineLevel="0" collapsed="false">
      <c r="A2" s="3" t="s">
        <v>882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0" hidden="false" customHeight="true" outlineLevel="0" collapsed="false">
      <c r="A3" s="34" t="s">
        <v>883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customFormat="false" ht="19.5" hidden="false" customHeight="true" outlineLevel="0" collapsed="false">
      <c r="A4" s="21" t="s">
        <v>227</v>
      </c>
      <c r="B4" s="21" t="s">
        <v>205</v>
      </c>
      <c r="C4" s="21" t="s">
        <v>209</v>
      </c>
      <c r="D4" s="21" t="s">
        <v>232</v>
      </c>
      <c r="E4" s="21" t="s">
        <v>235</v>
      </c>
      <c r="F4" s="21" t="s">
        <v>884</v>
      </c>
      <c r="G4" s="21" t="s">
        <v>241</v>
      </c>
      <c r="H4" s="21" t="s">
        <v>885</v>
      </c>
      <c r="I4" s="21" t="s">
        <v>247</v>
      </c>
      <c r="J4" s="21" t="s">
        <v>249</v>
      </c>
      <c r="K4" s="21" t="s">
        <v>886</v>
      </c>
    </row>
    <row r="5" customFormat="false" ht="15" hidden="false" customHeight="true" outlineLevel="0" collapsed="false">
      <c r="A5" s="54" t="s">
        <v>229</v>
      </c>
      <c r="B5" s="56" t="s">
        <v>862</v>
      </c>
      <c r="C5" s="63" t="s">
        <v>189</v>
      </c>
      <c r="D5" s="54" t="n">
        <v>31</v>
      </c>
      <c r="E5" s="63" t="n">
        <v>8</v>
      </c>
      <c r="F5" s="228" t="n">
        <v>0.0824877080245163</v>
      </c>
      <c r="G5" s="229" t="n">
        <v>0.943</v>
      </c>
      <c r="H5" s="230" t="n">
        <v>0.0778</v>
      </c>
      <c r="I5" s="63" t="n">
        <v>0</v>
      </c>
      <c r="J5" s="231" t="n">
        <v>0</v>
      </c>
      <c r="K5" s="231" t="n">
        <v>2300</v>
      </c>
    </row>
    <row r="6" customFormat="false" ht="15" hidden="false" customHeight="true" outlineLevel="0" collapsed="false">
      <c r="A6" s="45" t="s">
        <v>887</v>
      </c>
      <c r="B6" s="47" t="s">
        <v>496</v>
      </c>
      <c r="C6" s="64" t="s">
        <v>837</v>
      </c>
      <c r="D6" s="45" t="n">
        <v>40</v>
      </c>
      <c r="E6" s="64" t="n">
        <v>13</v>
      </c>
      <c r="F6" s="232" t="n">
        <v>0.0983042878142657</v>
      </c>
      <c r="G6" s="233" t="n">
        <v>1.0673</v>
      </c>
      <c r="H6" s="234" t="n">
        <v>0.1049</v>
      </c>
      <c r="I6" s="51" t="n">
        <v>0</v>
      </c>
      <c r="J6" s="235" t="n">
        <v>0</v>
      </c>
      <c r="K6" s="235" t="n">
        <v>2900</v>
      </c>
    </row>
    <row r="7" customFormat="false" ht="15" hidden="false" customHeight="true" outlineLevel="0" collapsed="false">
      <c r="A7" s="54" t="s">
        <v>888</v>
      </c>
      <c r="B7" s="56" t="s">
        <v>361</v>
      </c>
      <c r="C7" s="60" t="s">
        <v>837</v>
      </c>
      <c r="D7" s="54" t="n">
        <v>40</v>
      </c>
      <c r="E7" s="60" t="n">
        <v>16</v>
      </c>
      <c r="F7" s="228" t="n">
        <v>0.101185955882971</v>
      </c>
      <c r="G7" s="229" t="n">
        <v>1.0673</v>
      </c>
      <c r="H7" s="230" t="n">
        <v>0.108</v>
      </c>
      <c r="I7" s="63" t="n">
        <v>0</v>
      </c>
      <c r="J7" s="231" t="n">
        <v>0</v>
      </c>
      <c r="K7" s="231" t="n">
        <v>3000</v>
      </c>
    </row>
    <row r="8" customFormat="false" ht="15" hidden="false" customHeight="true" outlineLevel="0" collapsed="false">
      <c r="A8" s="45" t="s">
        <v>889</v>
      </c>
      <c r="B8" s="47" t="s">
        <v>865</v>
      </c>
      <c r="C8" s="70" t="s">
        <v>841</v>
      </c>
      <c r="D8" s="45" t="n">
        <v>30</v>
      </c>
      <c r="E8" s="64" t="n">
        <v>12</v>
      </c>
      <c r="F8" s="232" t="n">
        <v>0.0939994928067985</v>
      </c>
      <c r="G8" s="233" t="n">
        <v>1.1207</v>
      </c>
      <c r="H8" s="234" t="n">
        <v>0.1053</v>
      </c>
      <c r="I8" s="51" t="n">
        <v>0</v>
      </c>
      <c r="J8" s="235" t="n">
        <v>0</v>
      </c>
      <c r="K8" s="235" t="n">
        <v>2900</v>
      </c>
    </row>
    <row r="9" customFormat="false" ht="15" hidden="false" customHeight="true" outlineLevel="0" collapsed="false">
      <c r="A9" s="54" t="s">
        <v>890</v>
      </c>
      <c r="B9" s="56" t="s">
        <v>862</v>
      </c>
      <c r="C9" s="63" t="s">
        <v>189</v>
      </c>
      <c r="D9" s="54" t="n">
        <v>56</v>
      </c>
      <c r="E9" s="63" t="n">
        <v>6</v>
      </c>
      <c r="F9" s="228" t="n">
        <v>0.0738700101085422</v>
      </c>
      <c r="G9" s="229" t="n">
        <v>0.9147</v>
      </c>
      <c r="H9" s="230" t="n">
        <v>0.0676</v>
      </c>
      <c r="I9" s="63" t="n">
        <v>0</v>
      </c>
      <c r="J9" s="231" t="n">
        <v>0</v>
      </c>
      <c r="K9" s="231" t="n">
        <v>2100</v>
      </c>
    </row>
    <row r="10" customFormat="false" ht="15" hidden="false" customHeight="true" outlineLevel="0" collapsed="false">
      <c r="A10" s="45" t="s">
        <v>891</v>
      </c>
      <c r="B10" s="47" t="s">
        <v>870</v>
      </c>
      <c r="C10" s="64" t="s">
        <v>837</v>
      </c>
      <c r="D10" s="45" t="n">
        <v>42</v>
      </c>
      <c r="E10" s="51" t="n">
        <v>6</v>
      </c>
      <c r="F10" s="232" t="n">
        <v>0.0947349615111128</v>
      </c>
      <c r="G10" s="233" t="n">
        <v>1.014</v>
      </c>
      <c r="H10" s="234" t="n">
        <v>0.0961</v>
      </c>
      <c r="I10" s="51" t="n">
        <v>0</v>
      </c>
      <c r="J10" s="235" t="n">
        <v>0</v>
      </c>
      <c r="K10" s="235" t="n">
        <v>2700</v>
      </c>
    </row>
    <row r="11" customFormat="false" ht="15" hidden="false" customHeight="true" outlineLevel="0" collapsed="false">
      <c r="A11" s="54" t="s">
        <v>892</v>
      </c>
      <c r="B11" s="56" t="s">
        <v>862</v>
      </c>
      <c r="C11" s="63" t="s">
        <v>189</v>
      </c>
      <c r="D11" s="54" t="n">
        <v>26</v>
      </c>
      <c r="E11" s="69" t="n">
        <v>18</v>
      </c>
      <c r="F11" s="228" t="n">
        <v>0.084898144838866</v>
      </c>
      <c r="G11" s="229" t="n">
        <v>1.1256</v>
      </c>
      <c r="H11" s="230" t="n">
        <v>0.0956</v>
      </c>
      <c r="I11" s="63" t="n">
        <v>0</v>
      </c>
      <c r="J11" s="231" t="n">
        <v>0</v>
      </c>
      <c r="K11" s="231" t="n">
        <v>2700</v>
      </c>
    </row>
    <row r="12" customFormat="false" ht="15" hidden="false" customHeight="true" outlineLevel="0" collapsed="false">
      <c r="A12" s="45" t="s">
        <v>893</v>
      </c>
      <c r="B12" s="47" t="s">
        <v>290</v>
      </c>
      <c r="C12" s="64" t="s">
        <v>837</v>
      </c>
      <c r="D12" s="45" t="n">
        <v>44</v>
      </c>
      <c r="E12" s="51" t="n">
        <v>8</v>
      </c>
      <c r="F12" s="232" t="n">
        <v>0.099895824242854</v>
      </c>
      <c r="G12" s="233" t="n">
        <v>1.014</v>
      </c>
      <c r="H12" s="234" t="n">
        <v>0.1013</v>
      </c>
      <c r="I12" s="51" t="n">
        <v>0</v>
      </c>
      <c r="J12" s="235" t="n">
        <v>0</v>
      </c>
      <c r="K12" s="235" t="n">
        <v>2800</v>
      </c>
    </row>
    <row r="13" customFormat="false" ht="15" hidden="false" customHeight="true" outlineLevel="0" collapsed="false">
      <c r="A13" s="54" t="s">
        <v>894</v>
      </c>
      <c r="B13" s="56" t="s">
        <v>865</v>
      </c>
      <c r="C13" s="69" t="s">
        <v>841</v>
      </c>
      <c r="D13" s="54" t="n">
        <v>28</v>
      </c>
      <c r="E13" s="69" t="n">
        <v>20</v>
      </c>
      <c r="F13" s="228" t="n">
        <v>0.0934219010541681</v>
      </c>
      <c r="G13" s="229" t="n">
        <v>1.1767</v>
      </c>
      <c r="H13" s="230" t="n">
        <v>0.1099</v>
      </c>
      <c r="I13" s="63" t="n">
        <v>0</v>
      </c>
      <c r="J13" s="231" t="n">
        <v>0</v>
      </c>
      <c r="K13" s="231" t="n">
        <v>3000</v>
      </c>
    </row>
    <row r="14" customFormat="false" ht="15" hidden="false" customHeight="true" outlineLevel="0" collapsed="false">
      <c r="A14" s="45" t="s">
        <v>895</v>
      </c>
      <c r="B14" s="47" t="s">
        <v>496</v>
      </c>
      <c r="C14" s="64" t="s">
        <v>837</v>
      </c>
      <c r="D14" s="45" t="n">
        <v>45</v>
      </c>
      <c r="E14" s="64" t="n">
        <v>13</v>
      </c>
      <c r="F14" s="232" t="n">
        <v>0.0999862330173002</v>
      </c>
      <c r="G14" s="233" t="n">
        <v>1.0673</v>
      </c>
      <c r="H14" s="234" t="n">
        <v>0.1067</v>
      </c>
      <c r="I14" s="51" t="n">
        <v>0</v>
      </c>
      <c r="J14" s="235" t="n">
        <v>0</v>
      </c>
      <c r="K14" s="235" t="n">
        <v>3000</v>
      </c>
    </row>
    <row r="15" customFormat="false" ht="15" hidden="false" customHeight="true" outlineLevel="0" collapsed="false">
      <c r="A15" s="54" t="s">
        <v>896</v>
      </c>
      <c r="B15" s="56" t="s">
        <v>862</v>
      </c>
      <c r="C15" s="63" t="s">
        <v>189</v>
      </c>
      <c r="D15" s="54" t="n">
        <v>49</v>
      </c>
      <c r="E15" s="60" t="n">
        <v>15</v>
      </c>
      <c r="F15" s="228" t="n">
        <v>0.0723131619038387</v>
      </c>
      <c r="G15" s="229" t="n">
        <v>0.9926</v>
      </c>
      <c r="H15" s="230" t="n">
        <v>0.0718</v>
      </c>
      <c r="I15" s="63" t="n">
        <v>0</v>
      </c>
      <c r="J15" s="231" t="n">
        <v>0</v>
      </c>
      <c r="K15" s="231" t="n">
        <v>2200</v>
      </c>
    </row>
    <row r="16" customFormat="false" ht="15" hidden="false" customHeight="true" outlineLevel="0" collapsed="false">
      <c r="A16" s="45" t="s">
        <v>897</v>
      </c>
      <c r="B16" s="47" t="s">
        <v>865</v>
      </c>
      <c r="C16" s="64" t="s">
        <v>837</v>
      </c>
      <c r="D16" s="45" t="n">
        <v>29</v>
      </c>
      <c r="E16" s="70" t="n">
        <v>17</v>
      </c>
      <c r="F16" s="232" t="n">
        <v>0.100577498805067</v>
      </c>
      <c r="G16" s="233" t="n">
        <v>1.1207</v>
      </c>
      <c r="H16" s="234" t="n">
        <v>0.1127</v>
      </c>
      <c r="I16" s="51" t="n">
        <v>0</v>
      </c>
      <c r="J16" s="235" t="n">
        <v>0</v>
      </c>
      <c r="K16" s="235" t="n">
        <v>3100</v>
      </c>
    </row>
    <row r="17" customFormat="false" ht="15" hidden="false" customHeight="true" outlineLevel="0" collapsed="false">
      <c r="A17" s="54" t="s">
        <v>898</v>
      </c>
      <c r="B17" s="56" t="s">
        <v>870</v>
      </c>
      <c r="C17" s="60" t="s">
        <v>837</v>
      </c>
      <c r="D17" s="54" t="n">
        <v>47</v>
      </c>
      <c r="E17" s="69" t="n">
        <v>17</v>
      </c>
      <c r="F17" s="228" t="n">
        <v>0.0955406993175336</v>
      </c>
      <c r="G17" s="229" t="n">
        <v>1.1207</v>
      </c>
      <c r="H17" s="230" t="n">
        <v>0.1071</v>
      </c>
      <c r="I17" s="63" t="n">
        <v>0</v>
      </c>
      <c r="J17" s="231" t="n">
        <v>0</v>
      </c>
      <c r="K17" s="231" t="n">
        <v>3000</v>
      </c>
    </row>
    <row r="18" customFormat="false" ht="15" hidden="false" customHeight="true" outlineLevel="0" collapsed="false">
      <c r="A18" s="45" t="s">
        <v>899</v>
      </c>
      <c r="B18" s="47" t="s">
        <v>361</v>
      </c>
      <c r="C18" s="64" t="s">
        <v>837</v>
      </c>
      <c r="D18" s="45" t="n">
        <v>42</v>
      </c>
      <c r="E18" s="64" t="n">
        <v>9</v>
      </c>
      <c r="F18" s="232" t="n">
        <v>0.097809961704683</v>
      </c>
      <c r="G18" s="233" t="n">
        <v>1.0673</v>
      </c>
      <c r="H18" s="234" t="n">
        <v>0.1044</v>
      </c>
      <c r="I18" s="51" t="n">
        <v>0</v>
      </c>
      <c r="J18" s="235" t="n">
        <v>0</v>
      </c>
      <c r="K18" s="235" t="n">
        <v>2900</v>
      </c>
    </row>
    <row r="19" customFormat="false" ht="15" hidden="false" customHeight="true" outlineLevel="0" collapsed="false">
      <c r="A19" s="54" t="s">
        <v>900</v>
      </c>
      <c r="B19" s="56" t="s">
        <v>862</v>
      </c>
      <c r="C19" s="63" t="s">
        <v>189</v>
      </c>
      <c r="D19" s="54" t="n">
        <v>46</v>
      </c>
      <c r="E19" s="60" t="n">
        <v>16</v>
      </c>
      <c r="F19" s="228" t="n">
        <v>0.0730739286389479</v>
      </c>
      <c r="G19" s="229" t="n">
        <v>0.9926</v>
      </c>
      <c r="H19" s="230" t="n">
        <v>0.0725</v>
      </c>
      <c r="I19" s="63" t="n">
        <v>0</v>
      </c>
      <c r="J19" s="231" t="n">
        <v>0</v>
      </c>
      <c r="K19" s="231" t="n">
        <v>2200</v>
      </c>
    </row>
    <row r="20" customFormat="false" ht="15" hidden="false" customHeight="true" outlineLevel="0" collapsed="false">
      <c r="A20" s="45" t="s">
        <v>901</v>
      </c>
      <c r="B20" s="47" t="s">
        <v>875</v>
      </c>
      <c r="C20" s="51" t="s">
        <v>189</v>
      </c>
      <c r="D20" s="45" t="n">
        <v>56</v>
      </c>
      <c r="E20" s="64" t="n">
        <v>15</v>
      </c>
      <c r="F20" s="232" t="n">
        <v>0.0841033748640128</v>
      </c>
      <c r="G20" s="233" t="n">
        <v>0.9628</v>
      </c>
      <c r="H20" s="234" t="n">
        <v>0.081</v>
      </c>
      <c r="I20" s="51" t="n">
        <v>0</v>
      </c>
      <c r="J20" s="235" t="n">
        <v>0</v>
      </c>
      <c r="K20" s="235" t="n">
        <v>2400</v>
      </c>
    </row>
    <row r="21" customFormat="false" ht="15" hidden="false" customHeight="true" outlineLevel="0" collapsed="false">
      <c r="A21" s="54" t="s">
        <v>902</v>
      </c>
      <c r="B21" s="56" t="s">
        <v>870</v>
      </c>
      <c r="C21" s="60" t="s">
        <v>837</v>
      </c>
      <c r="D21" s="54" t="n">
        <v>35</v>
      </c>
      <c r="E21" s="60" t="n">
        <v>15</v>
      </c>
      <c r="F21" s="228" t="n">
        <v>0.0825925131789033</v>
      </c>
      <c r="G21" s="229" t="n">
        <v>1.0673</v>
      </c>
      <c r="H21" s="230" t="n">
        <v>0.0882</v>
      </c>
      <c r="I21" s="63" t="n">
        <v>0</v>
      </c>
      <c r="J21" s="231" t="n">
        <v>0</v>
      </c>
      <c r="K21" s="231" t="n">
        <v>2500</v>
      </c>
    </row>
    <row r="22" customFormat="false" ht="15" hidden="false" customHeight="true" outlineLevel="0" collapsed="false">
      <c r="A22" s="45" t="s">
        <v>903</v>
      </c>
      <c r="B22" s="47" t="s">
        <v>290</v>
      </c>
      <c r="C22" s="64" t="s">
        <v>837</v>
      </c>
      <c r="D22" s="45" t="n">
        <v>30</v>
      </c>
      <c r="E22" s="70" t="n">
        <v>20</v>
      </c>
      <c r="F22" s="232" t="n">
        <v>0.0865627677970843</v>
      </c>
      <c r="G22" s="233" t="n">
        <v>1.1207</v>
      </c>
      <c r="H22" s="234" t="n">
        <v>0.097</v>
      </c>
      <c r="I22" s="51" t="n">
        <v>0</v>
      </c>
      <c r="J22" s="235" t="n">
        <v>0</v>
      </c>
      <c r="K22" s="235" t="n">
        <v>2700</v>
      </c>
    </row>
    <row r="23" customFormat="false" ht="15" hidden="false" customHeight="true" outlineLevel="0" collapsed="false">
      <c r="A23" s="54" t="s">
        <v>904</v>
      </c>
      <c r="B23" s="56" t="s">
        <v>361</v>
      </c>
      <c r="C23" s="60" t="s">
        <v>837</v>
      </c>
      <c r="D23" s="54" t="n">
        <v>29</v>
      </c>
      <c r="E23" s="60" t="n">
        <v>10</v>
      </c>
      <c r="F23" s="228" t="n">
        <v>0.0955938971617632</v>
      </c>
      <c r="G23" s="229" t="n">
        <v>1.0673</v>
      </c>
      <c r="H23" s="230" t="n">
        <v>0.102</v>
      </c>
      <c r="I23" s="63" t="n">
        <v>0</v>
      </c>
      <c r="J23" s="231" t="n">
        <v>0</v>
      </c>
      <c r="K23" s="231" t="n">
        <v>2900</v>
      </c>
    </row>
    <row r="24" customFormat="false" ht="15" hidden="false" customHeight="true" outlineLevel="0" collapsed="false">
      <c r="A24" s="45" t="s">
        <v>905</v>
      </c>
      <c r="B24" s="47" t="s">
        <v>862</v>
      </c>
      <c r="C24" s="51" t="s">
        <v>189</v>
      </c>
      <c r="D24" s="45" t="n">
        <v>29</v>
      </c>
      <c r="E24" s="64" t="n">
        <v>14</v>
      </c>
      <c r="F24" s="232" t="n">
        <v>0.0879611034760549</v>
      </c>
      <c r="G24" s="233" t="n">
        <v>0.9926</v>
      </c>
      <c r="H24" s="234" t="n">
        <v>0.0873</v>
      </c>
      <c r="I24" s="51" t="n">
        <v>0</v>
      </c>
      <c r="J24" s="235" t="n">
        <v>0</v>
      </c>
      <c r="K24" s="235" t="n">
        <v>2500</v>
      </c>
    </row>
    <row r="25" customFormat="false" ht="15" hidden="false" customHeight="true" outlineLevel="0" collapsed="false">
      <c r="A25" s="54" t="s">
        <v>906</v>
      </c>
      <c r="B25" s="56" t="s">
        <v>862</v>
      </c>
      <c r="C25" s="63" t="s">
        <v>189</v>
      </c>
      <c r="D25" s="54" t="n">
        <v>37</v>
      </c>
      <c r="E25" s="60" t="n">
        <v>9</v>
      </c>
      <c r="F25" s="228" t="n">
        <v>0.0795999998616691</v>
      </c>
      <c r="G25" s="229" t="n">
        <v>0.9926</v>
      </c>
      <c r="H25" s="230" t="n">
        <v>0.079</v>
      </c>
      <c r="I25" s="63" t="n">
        <v>0</v>
      </c>
      <c r="J25" s="231" t="n">
        <v>0</v>
      </c>
      <c r="K25" s="231" t="n">
        <v>2300</v>
      </c>
    </row>
    <row r="26" customFormat="false" ht="15" hidden="false" customHeight="true" outlineLevel="0" collapsed="false">
      <c r="A26" s="45" t="s">
        <v>907</v>
      </c>
      <c r="B26" s="47" t="s">
        <v>865</v>
      </c>
      <c r="C26" s="64" t="s">
        <v>837</v>
      </c>
      <c r="D26" s="45" t="n">
        <v>41</v>
      </c>
      <c r="E26" s="70" t="n">
        <v>17</v>
      </c>
      <c r="F26" s="232" t="n">
        <v>0.0883335645736307</v>
      </c>
      <c r="G26" s="233" t="n">
        <v>1.1207</v>
      </c>
      <c r="H26" s="234" t="n">
        <v>0.099</v>
      </c>
      <c r="I26" s="51" t="n">
        <v>0</v>
      </c>
      <c r="J26" s="235" t="n">
        <v>0</v>
      </c>
      <c r="K26" s="235" t="n">
        <v>2800</v>
      </c>
    </row>
    <row r="27" customFormat="false" ht="15" hidden="false" customHeight="true" outlineLevel="0" collapsed="false">
      <c r="A27" s="54" t="s">
        <v>908</v>
      </c>
      <c r="B27" s="56" t="s">
        <v>862</v>
      </c>
      <c r="C27" s="63" t="s">
        <v>189</v>
      </c>
      <c r="D27" s="54" t="n">
        <v>40</v>
      </c>
      <c r="E27" s="60" t="n">
        <v>14</v>
      </c>
      <c r="F27" s="228" t="n">
        <v>0.0808947172999259</v>
      </c>
      <c r="G27" s="229" t="n">
        <v>0.9926</v>
      </c>
      <c r="H27" s="230" t="n">
        <v>0.0803</v>
      </c>
      <c r="I27" s="63" t="n">
        <v>0</v>
      </c>
      <c r="J27" s="231" t="n">
        <v>0</v>
      </c>
      <c r="K27" s="231" t="n">
        <v>2400</v>
      </c>
    </row>
    <row r="28" customFormat="false" ht="15" hidden="false" customHeight="true" outlineLevel="0" collapsed="false">
      <c r="A28" s="45" t="s">
        <v>909</v>
      </c>
      <c r="B28" s="47" t="s">
        <v>862</v>
      </c>
      <c r="C28" s="51" t="s">
        <v>189</v>
      </c>
      <c r="D28" s="45" t="n">
        <v>46</v>
      </c>
      <c r="E28" s="51" t="n">
        <v>7</v>
      </c>
      <c r="F28" s="232" t="n">
        <v>0.0757478356705576</v>
      </c>
      <c r="G28" s="233" t="n">
        <v>0.943</v>
      </c>
      <c r="H28" s="234" t="n">
        <v>0.0714</v>
      </c>
      <c r="I28" s="51" t="n">
        <v>0</v>
      </c>
      <c r="J28" s="235" t="n">
        <v>0</v>
      </c>
      <c r="K28" s="235" t="n">
        <v>2200</v>
      </c>
    </row>
    <row r="29" customFormat="false" ht="15" hidden="false" customHeight="true" outlineLevel="0" collapsed="false">
      <c r="A29" s="35" t="s">
        <v>910</v>
      </c>
      <c r="B29" s="37" t="s">
        <v>870</v>
      </c>
      <c r="C29" s="41" t="s">
        <v>837</v>
      </c>
      <c r="D29" s="35" t="n">
        <v>38</v>
      </c>
      <c r="E29" s="44" t="n">
        <v>18</v>
      </c>
      <c r="F29" s="236" t="n">
        <v>0.0840658585468325</v>
      </c>
      <c r="G29" s="237" t="n">
        <v>1.1207</v>
      </c>
      <c r="H29" s="238" t="n">
        <v>0.0942</v>
      </c>
      <c r="I29" s="44" t="n">
        <v>1</v>
      </c>
      <c r="J29" s="239" t="n">
        <v>21500</v>
      </c>
      <c r="K29" s="239" t="n">
        <v>2700</v>
      </c>
    </row>
    <row r="30" customFormat="false" ht="15" hidden="false" customHeight="true" outlineLevel="0" collapsed="false">
      <c r="A30" s="45" t="s">
        <v>911</v>
      </c>
      <c r="B30" s="47" t="s">
        <v>873</v>
      </c>
      <c r="C30" s="51" t="s">
        <v>189</v>
      </c>
      <c r="D30" s="45" t="n">
        <v>52</v>
      </c>
      <c r="E30" s="70" t="n">
        <v>17</v>
      </c>
      <c r="F30" s="232" t="n">
        <v>0.0722468122976791</v>
      </c>
      <c r="G30" s="233" t="n">
        <v>1.0422</v>
      </c>
      <c r="H30" s="234" t="n">
        <v>0.0753</v>
      </c>
      <c r="I30" s="51" t="n">
        <v>0</v>
      </c>
      <c r="J30" s="235" t="n">
        <v>0</v>
      </c>
      <c r="K30" s="235" t="n">
        <v>2200</v>
      </c>
    </row>
    <row r="31" customFormat="false" ht="15" hidden="false" customHeight="true" outlineLevel="0" collapsed="false">
      <c r="A31" s="54" t="s">
        <v>912</v>
      </c>
      <c r="B31" s="56" t="s">
        <v>873</v>
      </c>
      <c r="C31" s="63" t="s">
        <v>189</v>
      </c>
      <c r="D31" s="54" t="n">
        <v>35</v>
      </c>
      <c r="E31" s="69" t="n">
        <v>22</v>
      </c>
      <c r="F31" s="228" t="n">
        <v>0.0901041514862672</v>
      </c>
      <c r="G31" s="229" t="n">
        <v>1.0422</v>
      </c>
      <c r="H31" s="230" t="n">
        <v>0.0939</v>
      </c>
      <c r="I31" s="63" t="n">
        <v>0</v>
      </c>
      <c r="J31" s="231" t="n">
        <v>0</v>
      </c>
      <c r="K31" s="231" t="n">
        <v>2700</v>
      </c>
    </row>
    <row r="32" customFormat="false" ht="15" hidden="false" customHeight="true" outlineLevel="0" collapsed="false">
      <c r="A32" s="45" t="s">
        <v>913</v>
      </c>
      <c r="B32" s="47" t="s">
        <v>870</v>
      </c>
      <c r="C32" s="64" t="s">
        <v>837</v>
      </c>
      <c r="D32" s="45" t="n">
        <v>65</v>
      </c>
      <c r="E32" s="64" t="n">
        <v>10</v>
      </c>
      <c r="F32" s="232" t="n">
        <v>0.0957063198358911</v>
      </c>
      <c r="G32" s="233" t="n">
        <v>1.0353</v>
      </c>
      <c r="H32" s="234" t="n">
        <v>0.0991</v>
      </c>
      <c r="I32" s="51" t="n">
        <v>0</v>
      </c>
      <c r="J32" s="235" t="n">
        <v>0</v>
      </c>
      <c r="K32" s="235" t="n">
        <v>2800</v>
      </c>
    </row>
    <row r="33" customFormat="false" ht="15" hidden="false" customHeight="true" outlineLevel="0" collapsed="false">
      <c r="A33" s="35" t="s">
        <v>914</v>
      </c>
      <c r="B33" s="37" t="s">
        <v>865</v>
      </c>
      <c r="C33" s="44" t="s">
        <v>841</v>
      </c>
      <c r="D33" s="35" t="n">
        <v>44</v>
      </c>
      <c r="E33" s="41" t="n">
        <v>13</v>
      </c>
      <c r="F33" s="236" t="n">
        <v>0.0978624788442157</v>
      </c>
      <c r="G33" s="237" t="n">
        <v>1.1207</v>
      </c>
      <c r="H33" s="238" t="n">
        <v>0.1097</v>
      </c>
      <c r="I33" s="44" t="n">
        <v>1</v>
      </c>
      <c r="J33" s="239" t="n">
        <v>16300</v>
      </c>
      <c r="K33" s="239" t="n">
        <v>3000</v>
      </c>
    </row>
    <row r="34" customFormat="false" ht="15" hidden="false" customHeight="true" outlineLevel="0" collapsed="false">
      <c r="A34" s="45" t="s">
        <v>915</v>
      </c>
      <c r="B34" s="47" t="s">
        <v>400</v>
      </c>
      <c r="C34" s="64" t="s">
        <v>837</v>
      </c>
      <c r="D34" s="45" t="n">
        <v>29</v>
      </c>
      <c r="E34" s="51" t="n">
        <v>7</v>
      </c>
      <c r="F34" s="232" t="n">
        <v>0.0892224982457906</v>
      </c>
      <c r="G34" s="233" t="n">
        <v>1.014</v>
      </c>
      <c r="H34" s="234" t="n">
        <v>0.0905</v>
      </c>
      <c r="I34" s="51" t="n">
        <v>0</v>
      </c>
      <c r="J34" s="235" t="n">
        <v>0</v>
      </c>
      <c r="K34" s="235" t="n">
        <v>2600</v>
      </c>
    </row>
    <row r="35" customFormat="false" ht="15" hidden="false" customHeight="true" outlineLevel="0" collapsed="false">
      <c r="A35" s="54" t="s">
        <v>916</v>
      </c>
      <c r="B35" s="56" t="s">
        <v>496</v>
      </c>
      <c r="C35" s="60" t="s">
        <v>837</v>
      </c>
      <c r="D35" s="54" t="n">
        <v>27</v>
      </c>
      <c r="E35" s="69" t="n">
        <v>20</v>
      </c>
      <c r="F35" s="228" t="n">
        <v>0.0938761279607816</v>
      </c>
      <c r="G35" s="229" t="n">
        <v>1.2103</v>
      </c>
      <c r="H35" s="230" t="n">
        <v>0.1136</v>
      </c>
      <c r="I35" s="63" t="n">
        <v>0</v>
      </c>
      <c r="J35" s="231" t="n">
        <v>0</v>
      </c>
      <c r="K35" s="231" t="n">
        <v>3100</v>
      </c>
    </row>
    <row r="36" customFormat="false" ht="15" hidden="false" customHeight="true" outlineLevel="0" collapsed="false">
      <c r="A36" s="45" t="s">
        <v>917</v>
      </c>
      <c r="B36" s="47" t="s">
        <v>862</v>
      </c>
      <c r="C36" s="51" t="s">
        <v>189</v>
      </c>
      <c r="D36" s="45" t="n">
        <v>42</v>
      </c>
      <c r="E36" s="64" t="n">
        <v>14</v>
      </c>
      <c r="F36" s="232" t="n">
        <v>0.0721353473885094</v>
      </c>
      <c r="G36" s="233" t="n">
        <v>0.9926</v>
      </c>
      <c r="H36" s="234" t="n">
        <v>0.0716</v>
      </c>
      <c r="I36" s="51" t="n">
        <v>0</v>
      </c>
      <c r="J36" s="235" t="n">
        <v>0</v>
      </c>
      <c r="K36" s="235" t="n">
        <v>2200</v>
      </c>
    </row>
    <row r="37" customFormat="false" ht="15" hidden="false" customHeight="true" outlineLevel="0" collapsed="false">
      <c r="A37" s="54" t="s">
        <v>918</v>
      </c>
      <c r="B37" s="56" t="s">
        <v>875</v>
      </c>
      <c r="C37" s="63" t="s">
        <v>189</v>
      </c>
      <c r="D37" s="54" t="n">
        <v>35</v>
      </c>
      <c r="E37" s="69" t="n">
        <v>17</v>
      </c>
      <c r="F37" s="228" t="n">
        <v>0.0880815292391477</v>
      </c>
      <c r="G37" s="229" t="n">
        <v>1.0422</v>
      </c>
      <c r="H37" s="230" t="n">
        <v>0.0918</v>
      </c>
      <c r="I37" s="63" t="n">
        <v>0</v>
      </c>
      <c r="J37" s="231" t="n">
        <v>0</v>
      </c>
      <c r="K37" s="231" t="n">
        <v>2600</v>
      </c>
    </row>
    <row r="38" customFormat="false" ht="15" hidden="false" customHeight="true" outlineLevel="0" collapsed="false">
      <c r="A38" s="45" t="s">
        <v>919</v>
      </c>
      <c r="B38" s="47" t="s">
        <v>361</v>
      </c>
      <c r="C38" s="64" t="s">
        <v>837</v>
      </c>
      <c r="D38" s="45" t="n">
        <v>45</v>
      </c>
      <c r="E38" s="64" t="n">
        <v>9</v>
      </c>
      <c r="F38" s="232" t="n">
        <v>0.0880087056935825</v>
      </c>
      <c r="G38" s="233" t="n">
        <v>1.0673</v>
      </c>
      <c r="H38" s="234" t="n">
        <v>0.0939</v>
      </c>
      <c r="I38" s="51" t="n">
        <v>0</v>
      </c>
      <c r="J38" s="235" t="n">
        <v>0</v>
      </c>
      <c r="K38" s="235" t="n">
        <v>2700</v>
      </c>
    </row>
    <row r="39" customFormat="false" ht="15" hidden="false" customHeight="true" outlineLevel="0" collapsed="false">
      <c r="A39" s="54" t="s">
        <v>920</v>
      </c>
      <c r="B39" s="56" t="s">
        <v>496</v>
      </c>
      <c r="C39" s="60" t="s">
        <v>837</v>
      </c>
      <c r="D39" s="54" t="n">
        <v>42</v>
      </c>
      <c r="E39" s="69" t="n">
        <v>20</v>
      </c>
      <c r="F39" s="228" t="n">
        <v>0.0882836656239088</v>
      </c>
      <c r="G39" s="229" t="n">
        <v>1.1207</v>
      </c>
      <c r="H39" s="230" t="n">
        <v>0.0989</v>
      </c>
      <c r="I39" s="63" t="n">
        <v>0</v>
      </c>
      <c r="J39" s="231" t="n">
        <v>0</v>
      </c>
      <c r="K39" s="231" t="n">
        <v>2800</v>
      </c>
    </row>
    <row r="40" customFormat="false" ht="15" hidden="false" customHeight="true" outlineLevel="0" collapsed="false">
      <c r="A40" s="45" t="s">
        <v>921</v>
      </c>
      <c r="B40" s="47" t="s">
        <v>290</v>
      </c>
      <c r="C40" s="64" t="s">
        <v>837</v>
      </c>
      <c r="D40" s="45" t="n">
        <v>37</v>
      </c>
      <c r="E40" s="64" t="n">
        <v>14</v>
      </c>
      <c r="F40" s="232" t="n">
        <v>0.0966974873088237</v>
      </c>
      <c r="G40" s="233" t="n">
        <v>1.0673</v>
      </c>
      <c r="H40" s="234" t="n">
        <v>0.1032</v>
      </c>
      <c r="I40" s="51" t="n">
        <v>0</v>
      </c>
      <c r="J40" s="235" t="n">
        <v>0</v>
      </c>
      <c r="K40" s="235" t="n">
        <v>2900</v>
      </c>
    </row>
    <row r="41" customFormat="false" ht="15" hidden="false" customHeight="true" outlineLevel="0" collapsed="false">
      <c r="A41" s="54" t="s">
        <v>922</v>
      </c>
      <c r="B41" s="56" t="s">
        <v>290</v>
      </c>
      <c r="C41" s="60" t="s">
        <v>837</v>
      </c>
      <c r="D41" s="54" t="n">
        <v>29</v>
      </c>
      <c r="E41" s="60" t="n">
        <v>12</v>
      </c>
      <c r="F41" s="228" t="n">
        <v>0.0885177247488581</v>
      </c>
      <c r="G41" s="229" t="n">
        <v>1.0673</v>
      </c>
      <c r="H41" s="230" t="n">
        <v>0.0945</v>
      </c>
      <c r="I41" s="63" t="n">
        <v>0</v>
      </c>
      <c r="J41" s="231" t="n">
        <v>0</v>
      </c>
      <c r="K41" s="231" t="n">
        <v>2700</v>
      </c>
    </row>
    <row r="42" customFormat="false" ht="15" hidden="false" customHeight="true" outlineLevel="0" collapsed="false">
      <c r="A42" s="45" t="s">
        <v>923</v>
      </c>
      <c r="B42" s="47" t="s">
        <v>873</v>
      </c>
      <c r="C42" s="51" t="s">
        <v>189</v>
      </c>
      <c r="D42" s="45" t="n">
        <v>22</v>
      </c>
      <c r="E42" s="64" t="n">
        <v>16</v>
      </c>
      <c r="F42" s="232" t="n">
        <v>0.07427775647224</v>
      </c>
      <c r="G42" s="233" t="n">
        <v>1.072</v>
      </c>
      <c r="H42" s="234" t="n">
        <v>0.0796</v>
      </c>
      <c r="I42" s="51" t="n">
        <v>0</v>
      </c>
      <c r="J42" s="235" t="n">
        <v>0</v>
      </c>
      <c r="K42" s="235" t="n">
        <v>2300</v>
      </c>
    </row>
    <row r="43" customFormat="false" ht="15" hidden="false" customHeight="true" outlineLevel="0" collapsed="false">
      <c r="A43" s="54" t="s">
        <v>924</v>
      </c>
      <c r="B43" s="56" t="s">
        <v>870</v>
      </c>
      <c r="C43" s="60" t="s">
        <v>837</v>
      </c>
      <c r="D43" s="54" t="n">
        <v>33</v>
      </c>
      <c r="E43" s="69" t="n">
        <v>22</v>
      </c>
      <c r="F43" s="228" t="n">
        <v>0.085598544252174</v>
      </c>
      <c r="G43" s="229" t="n">
        <v>1.1207</v>
      </c>
      <c r="H43" s="230" t="n">
        <v>0.0959</v>
      </c>
      <c r="I43" s="63" t="n">
        <v>0</v>
      </c>
      <c r="J43" s="231" t="n">
        <v>0</v>
      </c>
      <c r="K43" s="231" t="n">
        <v>2700</v>
      </c>
    </row>
    <row r="44" customFormat="false" ht="15" hidden="false" customHeight="true" outlineLevel="0" collapsed="false">
      <c r="A44" s="45" t="s">
        <v>925</v>
      </c>
      <c r="B44" s="47" t="s">
        <v>862</v>
      </c>
      <c r="C44" s="51" t="s">
        <v>189</v>
      </c>
      <c r="D44" s="45" t="n">
        <v>46</v>
      </c>
      <c r="E44" s="70" t="n">
        <v>19</v>
      </c>
      <c r="F44" s="232" t="n">
        <v>0.0908594983083557</v>
      </c>
      <c r="G44" s="233" t="n">
        <v>1.0422</v>
      </c>
      <c r="H44" s="234" t="n">
        <v>0.0947</v>
      </c>
      <c r="I44" s="51" t="n">
        <v>0</v>
      </c>
      <c r="J44" s="235" t="n">
        <v>0</v>
      </c>
      <c r="K44" s="235" t="n">
        <v>2700</v>
      </c>
    </row>
    <row r="45" customFormat="false" ht="15" hidden="false" customHeight="true" outlineLevel="0" collapsed="false">
      <c r="A45" s="54" t="s">
        <v>926</v>
      </c>
      <c r="B45" s="56" t="s">
        <v>873</v>
      </c>
      <c r="C45" s="63" t="s">
        <v>189</v>
      </c>
      <c r="D45" s="54" t="n">
        <v>40</v>
      </c>
      <c r="E45" s="63" t="n">
        <v>7</v>
      </c>
      <c r="F45" s="228" t="n">
        <v>0.0883793113600892</v>
      </c>
      <c r="G45" s="229" t="n">
        <v>0.943</v>
      </c>
      <c r="H45" s="230" t="n">
        <v>0.0833</v>
      </c>
      <c r="I45" s="63" t="n">
        <v>0</v>
      </c>
      <c r="J45" s="231" t="n">
        <v>0</v>
      </c>
      <c r="K45" s="231" t="n">
        <v>2400</v>
      </c>
    </row>
    <row r="46" customFormat="false" ht="15" hidden="false" customHeight="true" outlineLevel="0" collapsed="false">
      <c r="A46" s="45" t="s">
        <v>927</v>
      </c>
      <c r="B46" s="47" t="s">
        <v>400</v>
      </c>
      <c r="C46" s="64" t="s">
        <v>837</v>
      </c>
      <c r="D46" s="45" t="n">
        <v>25</v>
      </c>
      <c r="E46" s="70" t="n">
        <v>20</v>
      </c>
      <c r="F46" s="232" t="n">
        <v>0.0847835824539268</v>
      </c>
      <c r="G46" s="233" t="n">
        <v>1.2103</v>
      </c>
      <c r="H46" s="234" t="n">
        <v>0.1026</v>
      </c>
      <c r="I46" s="51" t="n">
        <v>0</v>
      </c>
      <c r="J46" s="235" t="n">
        <v>0</v>
      </c>
      <c r="K46" s="235" t="n">
        <v>2900</v>
      </c>
    </row>
    <row r="47" customFormat="false" ht="15" hidden="false" customHeight="true" outlineLevel="0" collapsed="false">
      <c r="A47" s="54" t="s">
        <v>928</v>
      </c>
      <c r="B47" s="56" t="s">
        <v>865</v>
      </c>
      <c r="C47" s="69" t="s">
        <v>841</v>
      </c>
      <c r="D47" s="54" t="n">
        <v>39</v>
      </c>
      <c r="E47" s="60" t="n">
        <v>9</v>
      </c>
      <c r="F47" s="228" t="n">
        <v>0.102304727825989</v>
      </c>
      <c r="G47" s="229" t="n">
        <v>1.1207</v>
      </c>
      <c r="H47" s="230" t="n">
        <v>0.1147</v>
      </c>
      <c r="I47" s="63" t="n">
        <v>0</v>
      </c>
      <c r="J47" s="231" t="n">
        <v>0</v>
      </c>
      <c r="K47" s="231" t="n">
        <v>3200</v>
      </c>
    </row>
    <row r="48" customFormat="false" ht="15" hidden="false" customHeight="true" outlineLevel="0" collapsed="false">
      <c r="A48" s="45" t="s">
        <v>929</v>
      </c>
      <c r="B48" s="47" t="s">
        <v>862</v>
      </c>
      <c r="C48" s="51" t="s">
        <v>189</v>
      </c>
      <c r="D48" s="45" t="n">
        <v>41</v>
      </c>
      <c r="E48" s="70" t="n">
        <v>20</v>
      </c>
      <c r="F48" s="232" t="n">
        <v>0.0836448803843267</v>
      </c>
      <c r="G48" s="233" t="n">
        <v>1.0422</v>
      </c>
      <c r="H48" s="234" t="n">
        <v>0.0872</v>
      </c>
      <c r="I48" s="51" t="n">
        <v>0</v>
      </c>
      <c r="J48" s="235" t="n">
        <v>0</v>
      </c>
      <c r="K48" s="235" t="n">
        <v>2500</v>
      </c>
    </row>
    <row r="49" customFormat="false" ht="15" hidden="false" customHeight="true" outlineLevel="0" collapsed="false">
      <c r="A49" s="54" t="s">
        <v>930</v>
      </c>
      <c r="B49" s="56" t="s">
        <v>877</v>
      </c>
      <c r="C49" s="60" t="s">
        <v>837</v>
      </c>
      <c r="D49" s="54" t="n">
        <v>29</v>
      </c>
      <c r="E49" s="69" t="n">
        <v>18</v>
      </c>
      <c r="F49" s="228" t="n">
        <v>0.0928729040677496</v>
      </c>
      <c r="G49" s="229" t="n">
        <v>1.1207</v>
      </c>
      <c r="H49" s="230" t="n">
        <v>0.1041</v>
      </c>
      <c r="I49" s="63" t="n">
        <v>0</v>
      </c>
      <c r="J49" s="231" t="n">
        <v>0</v>
      </c>
      <c r="K49" s="231" t="n">
        <v>2900</v>
      </c>
    </row>
    <row r="50" customFormat="false" ht="15" hidden="false" customHeight="true" outlineLevel="0" collapsed="false">
      <c r="A50" s="45" t="s">
        <v>931</v>
      </c>
      <c r="B50" s="47" t="s">
        <v>361</v>
      </c>
      <c r="C50" s="64" t="s">
        <v>837</v>
      </c>
      <c r="D50" s="45" t="n">
        <v>39</v>
      </c>
      <c r="E50" s="70" t="n">
        <v>22</v>
      </c>
      <c r="F50" s="232" t="n">
        <v>0.0938763988670976</v>
      </c>
      <c r="G50" s="233" t="n">
        <v>1.1207</v>
      </c>
      <c r="H50" s="234" t="n">
        <v>0.1052</v>
      </c>
      <c r="I50" s="51" t="n">
        <v>0</v>
      </c>
      <c r="J50" s="235" t="n">
        <v>0</v>
      </c>
      <c r="K50" s="235" t="n">
        <v>2900</v>
      </c>
    </row>
    <row r="51" customFormat="false" ht="15" hidden="false" customHeight="true" outlineLevel="0" collapsed="false">
      <c r="A51" s="54" t="s">
        <v>932</v>
      </c>
      <c r="B51" s="56" t="s">
        <v>862</v>
      </c>
      <c r="C51" s="63" t="s">
        <v>189</v>
      </c>
      <c r="D51" s="54" t="n">
        <v>38</v>
      </c>
      <c r="E51" s="60" t="n">
        <v>12</v>
      </c>
      <c r="F51" s="228" t="n">
        <v>0.0851520328916153</v>
      </c>
      <c r="G51" s="229" t="n">
        <v>0.9926</v>
      </c>
      <c r="H51" s="230" t="n">
        <v>0.0845</v>
      </c>
      <c r="I51" s="63" t="n">
        <v>0</v>
      </c>
      <c r="J51" s="231" t="n">
        <v>0</v>
      </c>
      <c r="K51" s="231" t="n">
        <v>2500</v>
      </c>
    </row>
    <row r="52" customFormat="false" ht="15" hidden="false" customHeight="true" outlineLevel="0" collapsed="false">
      <c r="A52" s="45" t="s">
        <v>933</v>
      </c>
      <c r="B52" s="47" t="s">
        <v>496</v>
      </c>
      <c r="C52" s="64" t="s">
        <v>837</v>
      </c>
      <c r="D52" s="45" t="n">
        <v>26</v>
      </c>
      <c r="E52" s="51" t="n">
        <v>6</v>
      </c>
      <c r="F52" s="232" t="n">
        <v>0.0932644058441532</v>
      </c>
      <c r="G52" s="233" t="n">
        <v>1.0951</v>
      </c>
      <c r="H52" s="234" t="n">
        <v>0.1021</v>
      </c>
      <c r="I52" s="51" t="n">
        <v>0</v>
      </c>
      <c r="J52" s="235" t="n">
        <v>0</v>
      </c>
      <c r="K52" s="235" t="n">
        <v>2900</v>
      </c>
    </row>
    <row r="53" customFormat="false" ht="15" hidden="false" customHeight="true" outlineLevel="0" collapsed="false">
      <c r="A53" s="54" t="s">
        <v>934</v>
      </c>
      <c r="B53" s="56" t="s">
        <v>496</v>
      </c>
      <c r="C53" s="60" t="s">
        <v>837</v>
      </c>
      <c r="D53" s="54" t="n">
        <v>41</v>
      </c>
      <c r="E53" s="60" t="n">
        <v>15</v>
      </c>
      <c r="F53" s="228" t="n">
        <v>0.101314335554277</v>
      </c>
      <c r="G53" s="229" t="n">
        <v>1.0673</v>
      </c>
      <c r="H53" s="230" t="n">
        <v>0.1081</v>
      </c>
      <c r="I53" s="63" t="n">
        <v>0</v>
      </c>
      <c r="J53" s="231" t="n">
        <v>0</v>
      </c>
      <c r="K53" s="231" t="n">
        <v>3000</v>
      </c>
    </row>
    <row r="54" customFormat="false" ht="15" hidden="false" customHeight="true" outlineLevel="0" collapsed="false">
      <c r="A54" s="45" t="s">
        <v>935</v>
      </c>
      <c r="B54" s="47" t="s">
        <v>862</v>
      </c>
      <c r="C54" s="51" t="s">
        <v>189</v>
      </c>
      <c r="D54" s="45" t="n">
        <v>43</v>
      </c>
      <c r="E54" s="64" t="n">
        <v>13</v>
      </c>
      <c r="F54" s="232" t="n">
        <v>0.0764400215909893</v>
      </c>
      <c r="G54" s="233" t="n">
        <v>0.9926</v>
      </c>
      <c r="H54" s="234" t="n">
        <v>0.0759</v>
      </c>
      <c r="I54" s="51" t="n">
        <v>0</v>
      </c>
      <c r="J54" s="235" t="n">
        <v>0</v>
      </c>
      <c r="K54" s="235" t="n">
        <v>2300</v>
      </c>
    </row>
    <row r="55" customFormat="false" ht="15" hidden="false" customHeight="true" outlineLevel="0" collapsed="false">
      <c r="A55" s="54" t="s">
        <v>936</v>
      </c>
      <c r="B55" s="56" t="s">
        <v>870</v>
      </c>
      <c r="C55" s="60" t="s">
        <v>837</v>
      </c>
      <c r="D55" s="54" t="n">
        <v>48</v>
      </c>
      <c r="E55" s="60" t="n">
        <v>12</v>
      </c>
      <c r="F55" s="228" t="n">
        <v>0.0909155710300981</v>
      </c>
      <c r="G55" s="229" t="n">
        <v>1.0673</v>
      </c>
      <c r="H55" s="230" t="n">
        <v>0.097</v>
      </c>
      <c r="I55" s="63" t="n">
        <v>0</v>
      </c>
      <c r="J55" s="231" t="n">
        <v>0</v>
      </c>
      <c r="K55" s="231" t="n">
        <v>2700</v>
      </c>
    </row>
    <row r="56" customFormat="false" ht="15" hidden="false" customHeight="true" outlineLevel="0" collapsed="false">
      <c r="A56" s="45" t="s">
        <v>937</v>
      </c>
      <c r="B56" s="47" t="s">
        <v>873</v>
      </c>
      <c r="C56" s="51" t="s">
        <v>189</v>
      </c>
      <c r="D56" s="45" t="n">
        <v>48</v>
      </c>
      <c r="E56" s="70" t="n">
        <v>21</v>
      </c>
      <c r="F56" s="232" t="n">
        <v>0.0750148986495983</v>
      </c>
      <c r="G56" s="233" t="n">
        <v>1.0422</v>
      </c>
      <c r="H56" s="234" t="n">
        <v>0.0782</v>
      </c>
      <c r="I56" s="51" t="n">
        <v>0</v>
      </c>
      <c r="J56" s="235" t="n">
        <v>0</v>
      </c>
      <c r="K56" s="235" t="n">
        <v>2300</v>
      </c>
    </row>
    <row r="57" customFormat="false" ht="15" hidden="false" customHeight="true" outlineLevel="0" collapsed="false">
      <c r="A57" s="54" t="s">
        <v>938</v>
      </c>
      <c r="B57" s="56" t="s">
        <v>400</v>
      </c>
      <c r="C57" s="60" t="s">
        <v>837</v>
      </c>
      <c r="D57" s="54" t="n">
        <v>24</v>
      </c>
      <c r="E57" s="60" t="n">
        <v>14</v>
      </c>
      <c r="F57" s="228" t="n">
        <v>0.0903195085705143</v>
      </c>
      <c r="G57" s="229" t="n">
        <v>1.1527</v>
      </c>
      <c r="H57" s="230" t="n">
        <v>0.1041</v>
      </c>
      <c r="I57" s="63" t="n">
        <v>0</v>
      </c>
      <c r="J57" s="231" t="n">
        <v>0</v>
      </c>
      <c r="K57" s="231" t="n">
        <v>2900</v>
      </c>
    </row>
    <row r="58" customFormat="false" ht="15" hidden="false" customHeight="true" outlineLevel="0" collapsed="false">
      <c r="A58" s="45" t="s">
        <v>939</v>
      </c>
      <c r="B58" s="47" t="s">
        <v>862</v>
      </c>
      <c r="C58" s="51" t="s">
        <v>189</v>
      </c>
      <c r="D58" s="45" t="n">
        <v>28</v>
      </c>
      <c r="E58" s="64" t="n">
        <v>9</v>
      </c>
      <c r="F58" s="232" t="n">
        <v>0.0789665730464295</v>
      </c>
      <c r="G58" s="233" t="n">
        <v>0.9926</v>
      </c>
      <c r="H58" s="234" t="n">
        <v>0.0784</v>
      </c>
      <c r="I58" s="51" t="n">
        <v>0</v>
      </c>
      <c r="J58" s="235" t="n">
        <v>0</v>
      </c>
      <c r="K58" s="235" t="n">
        <v>2300</v>
      </c>
    </row>
    <row r="59" customFormat="false" ht="15" hidden="false" customHeight="true" outlineLevel="0" collapsed="false">
      <c r="A59" s="54" t="s">
        <v>940</v>
      </c>
      <c r="B59" s="56" t="s">
        <v>873</v>
      </c>
      <c r="C59" s="63" t="s">
        <v>189</v>
      </c>
      <c r="D59" s="54" t="n">
        <v>43</v>
      </c>
      <c r="E59" s="69" t="n">
        <v>21</v>
      </c>
      <c r="F59" s="228" t="n">
        <v>0.0816585199755878</v>
      </c>
      <c r="G59" s="229" t="n">
        <v>1.0422</v>
      </c>
      <c r="H59" s="230" t="n">
        <v>0.0851</v>
      </c>
      <c r="I59" s="63" t="n">
        <v>0</v>
      </c>
      <c r="J59" s="231" t="n">
        <v>0</v>
      </c>
      <c r="K59" s="231" t="n">
        <v>2500</v>
      </c>
    </row>
    <row r="60" customFormat="false" ht="15" hidden="false" customHeight="true" outlineLevel="0" collapsed="false">
      <c r="A60" s="45" t="s">
        <v>941</v>
      </c>
      <c r="B60" s="47" t="s">
        <v>400</v>
      </c>
      <c r="C60" s="64" t="s">
        <v>837</v>
      </c>
      <c r="D60" s="45" t="n">
        <v>43</v>
      </c>
      <c r="E60" s="70" t="n">
        <v>19</v>
      </c>
      <c r="F60" s="232" t="n">
        <v>0.088378189484354</v>
      </c>
      <c r="G60" s="233" t="n">
        <v>1.1207</v>
      </c>
      <c r="H60" s="234" t="n">
        <v>0.099</v>
      </c>
      <c r="I60" s="51" t="n">
        <v>0</v>
      </c>
      <c r="J60" s="235" t="n">
        <v>0</v>
      </c>
      <c r="K60" s="235" t="n">
        <v>2800</v>
      </c>
    </row>
    <row r="61" customFormat="false" ht="15" hidden="false" customHeight="true" outlineLevel="0" collapsed="false">
      <c r="A61" s="54" t="s">
        <v>942</v>
      </c>
      <c r="B61" s="56" t="s">
        <v>875</v>
      </c>
      <c r="C61" s="63" t="s">
        <v>189</v>
      </c>
      <c r="D61" s="54" t="n">
        <v>43</v>
      </c>
      <c r="E61" s="63" t="n">
        <v>8</v>
      </c>
      <c r="F61" s="228" t="n">
        <v>0.0724517023040623</v>
      </c>
      <c r="G61" s="229" t="n">
        <v>0.943</v>
      </c>
      <c r="H61" s="230" t="n">
        <v>0.0683</v>
      </c>
      <c r="I61" s="63" t="n">
        <v>0</v>
      </c>
      <c r="J61" s="231" t="n">
        <v>0</v>
      </c>
      <c r="K61" s="231" t="n">
        <v>2100</v>
      </c>
    </row>
    <row r="62" customFormat="false" ht="15" hidden="false" customHeight="true" outlineLevel="0" collapsed="false">
      <c r="A62" s="45" t="s">
        <v>943</v>
      </c>
      <c r="B62" s="47" t="s">
        <v>862</v>
      </c>
      <c r="C62" s="51" t="s">
        <v>189</v>
      </c>
      <c r="D62" s="45" t="n">
        <v>68</v>
      </c>
      <c r="E62" s="64" t="n">
        <v>10</v>
      </c>
      <c r="F62" s="232" t="n">
        <v>0.0905984489297719</v>
      </c>
      <c r="G62" s="233" t="n">
        <v>0.9628</v>
      </c>
      <c r="H62" s="234" t="n">
        <v>0.0872</v>
      </c>
      <c r="I62" s="51" t="n">
        <v>0</v>
      </c>
      <c r="J62" s="235" t="n">
        <v>0</v>
      </c>
      <c r="K62" s="235" t="n">
        <v>2500</v>
      </c>
    </row>
    <row r="63" customFormat="false" ht="15" hidden="false" customHeight="true" outlineLevel="0" collapsed="false">
      <c r="A63" s="54" t="s">
        <v>944</v>
      </c>
      <c r="B63" s="56" t="s">
        <v>400</v>
      </c>
      <c r="C63" s="60" t="s">
        <v>837</v>
      </c>
      <c r="D63" s="54" t="n">
        <v>43</v>
      </c>
      <c r="E63" s="69" t="n">
        <v>22</v>
      </c>
      <c r="F63" s="228" t="n">
        <v>0.0852027142243072</v>
      </c>
      <c r="G63" s="229" t="n">
        <v>1.1207</v>
      </c>
      <c r="H63" s="230" t="n">
        <v>0.0955</v>
      </c>
      <c r="I63" s="63" t="n">
        <v>0</v>
      </c>
      <c r="J63" s="231" t="n">
        <v>0</v>
      </c>
      <c r="K63" s="231" t="n">
        <v>2700</v>
      </c>
    </row>
    <row r="64" customFormat="false" ht="15" hidden="false" customHeight="true" outlineLevel="0" collapsed="false">
      <c r="A64" s="45" t="s">
        <v>945</v>
      </c>
      <c r="B64" s="47" t="s">
        <v>290</v>
      </c>
      <c r="C64" s="64" t="s">
        <v>837</v>
      </c>
      <c r="D64" s="45" t="n">
        <v>49</v>
      </c>
      <c r="E64" s="64" t="n">
        <v>12</v>
      </c>
      <c r="F64" s="232" t="n">
        <v>0.0979551157660853</v>
      </c>
      <c r="G64" s="233" t="n">
        <v>1.0673</v>
      </c>
      <c r="H64" s="234" t="n">
        <v>0.1045</v>
      </c>
      <c r="I64" s="51" t="n">
        <v>0</v>
      </c>
      <c r="J64" s="235" t="n">
        <v>0</v>
      </c>
      <c r="K64" s="235" t="n">
        <v>2900</v>
      </c>
    </row>
    <row r="65" customFormat="false" ht="15" hidden="false" customHeight="true" outlineLevel="0" collapsed="false">
      <c r="A65" s="54" t="s">
        <v>946</v>
      </c>
      <c r="B65" s="56" t="s">
        <v>865</v>
      </c>
      <c r="C65" s="60" t="s">
        <v>837</v>
      </c>
      <c r="D65" s="54" t="n">
        <v>47</v>
      </c>
      <c r="E65" s="69" t="n">
        <v>18</v>
      </c>
      <c r="F65" s="228" t="n">
        <v>0.0899116475625623</v>
      </c>
      <c r="G65" s="229" t="n">
        <v>1.1207</v>
      </c>
      <c r="H65" s="230" t="n">
        <v>0.1008</v>
      </c>
      <c r="I65" s="63" t="n">
        <v>0</v>
      </c>
      <c r="J65" s="231" t="n">
        <v>0</v>
      </c>
      <c r="K65" s="231" t="n">
        <v>2800</v>
      </c>
    </row>
    <row r="66" customFormat="false" ht="15" hidden="false" customHeight="true" outlineLevel="0" collapsed="false">
      <c r="A66" s="45" t="s">
        <v>947</v>
      </c>
      <c r="B66" s="47" t="s">
        <v>877</v>
      </c>
      <c r="C66" s="64" t="s">
        <v>837</v>
      </c>
      <c r="D66" s="45" t="n">
        <v>44</v>
      </c>
      <c r="E66" s="70" t="n">
        <v>19</v>
      </c>
      <c r="F66" s="232" t="n">
        <v>0.0938440631672074</v>
      </c>
      <c r="G66" s="233" t="n">
        <v>1.1207</v>
      </c>
      <c r="H66" s="234" t="n">
        <v>0.1052</v>
      </c>
      <c r="I66" s="51" t="n">
        <v>0</v>
      </c>
      <c r="J66" s="235" t="n">
        <v>0</v>
      </c>
      <c r="K66" s="235" t="n">
        <v>2900</v>
      </c>
    </row>
    <row r="67" customFormat="false" ht="15" hidden="false" customHeight="true" outlineLevel="0" collapsed="false">
      <c r="A67" s="54" t="s">
        <v>948</v>
      </c>
      <c r="B67" s="56" t="s">
        <v>496</v>
      </c>
      <c r="C67" s="60" t="s">
        <v>837</v>
      </c>
      <c r="D67" s="54" t="n">
        <v>34</v>
      </c>
      <c r="E67" s="60" t="n">
        <v>11</v>
      </c>
      <c r="F67" s="228" t="n">
        <v>0.0875668966103085</v>
      </c>
      <c r="G67" s="229" t="n">
        <v>1.0673</v>
      </c>
      <c r="H67" s="230" t="n">
        <v>0.0935</v>
      </c>
      <c r="I67" s="63" t="n">
        <v>0</v>
      </c>
      <c r="J67" s="231" t="n">
        <v>0</v>
      </c>
      <c r="K67" s="231" t="n">
        <v>2700</v>
      </c>
    </row>
    <row r="68" customFormat="false" ht="15" hidden="false" customHeight="true" outlineLevel="0" collapsed="false">
      <c r="A68" s="45" t="s">
        <v>949</v>
      </c>
      <c r="B68" s="47" t="s">
        <v>873</v>
      </c>
      <c r="C68" s="51" t="s">
        <v>189</v>
      </c>
      <c r="D68" s="45" t="n">
        <v>45</v>
      </c>
      <c r="E68" s="51" t="n">
        <v>8</v>
      </c>
      <c r="F68" s="232" t="n">
        <v>0.0879900471377342</v>
      </c>
      <c r="G68" s="233" t="n">
        <v>0.943</v>
      </c>
      <c r="H68" s="234" t="n">
        <v>0.083</v>
      </c>
      <c r="I68" s="51" t="n">
        <v>0</v>
      </c>
      <c r="J68" s="235" t="n">
        <v>0</v>
      </c>
      <c r="K68" s="235" t="n">
        <v>2400</v>
      </c>
    </row>
    <row r="69" customFormat="false" ht="15" hidden="false" customHeight="true" outlineLevel="0" collapsed="false">
      <c r="A69" s="54" t="s">
        <v>950</v>
      </c>
      <c r="B69" s="56" t="s">
        <v>361</v>
      </c>
      <c r="C69" s="60" t="s">
        <v>837</v>
      </c>
      <c r="D69" s="54" t="n">
        <v>30</v>
      </c>
      <c r="E69" s="60" t="n">
        <v>11</v>
      </c>
      <c r="F69" s="228" t="n">
        <v>0.0911510084441237</v>
      </c>
      <c r="G69" s="229" t="n">
        <v>1.0673</v>
      </c>
      <c r="H69" s="230" t="n">
        <v>0.0973</v>
      </c>
      <c r="I69" s="63" t="n">
        <v>0</v>
      </c>
      <c r="J69" s="231" t="n">
        <v>0</v>
      </c>
      <c r="K69" s="231" t="n">
        <v>2800</v>
      </c>
    </row>
    <row r="70" customFormat="false" ht="15" hidden="false" customHeight="true" outlineLevel="0" collapsed="false">
      <c r="A70" s="45" t="s">
        <v>951</v>
      </c>
      <c r="B70" s="47" t="s">
        <v>877</v>
      </c>
      <c r="C70" s="64" t="s">
        <v>837</v>
      </c>
      <c r="D70" s="45" t="n">
        <v>35</v>
      </c>
      <c r="E70" s="70" t="n">
        <v>21</v>
      </c>
      <c r="F70" s="232" t="n">
        <v>0.101318327998982</v>
      </c>
      <c r="G70" s="233" t="n">
        <v>1.1207</v>
      </c>
      <c r="H70" s="234" t="n">
        <v>0.1135</v>
      </c>
      <c r="I70" s="51" t="n">
        <v>0</v>
      </c>
      <c r="J70" s="235" t="n">
        <v>0</v>
      </c>
      <c r="K70" s="235" t="n">
        <v>3100</v>
      </c>
    </row>
    <row r="71" customFormat="false" ht="15" hidden="false" customHeight="true" outlineLevel="0" collapsed="false">
      <c r="A71" s="54" t="s">
        <v>952</v>
      </c>
      <c r="B71" s="56" t="s">
        <v>361</v>
      </c>
      <c r="C71" s="60" t="s">
        <v>837</v>
      </c>
      <c r="D71" s="54" t="n">
        <v>33</v>
      </c>
      <c r="E71" s="69" t="n">
        <v>17</v>
      </c>
      <c r="F71" s="228" t="n">
        <v>0.0937400942913044</v>
      </c>
      <c r="G71" s="229" t="n">
        <v>1.1207</v>
      </c>
      <c r="H71" s="230" t="n">
        <v>0.1051</v>
      </c>
      <c r="I71" s="63" t="n">
        <v>0</v>
      </c>
      <c r="J71" s="231" t="n">
        <v>0</v>
      </c>
      <c r="K71" s="231" t="n">
        <v>2900</v>
      </c>
    </row>
    <row r="72" customFormat="false" ht="15" hidden="false" customHeight="true" outlineLevel="0" collapsed="false">
      <c r="A72" s="45" t="s">
        <v>953</v>
      </c>
      <c r="B72" s="47" t="s">
        <v>875</v>
      </c>
      <c r="C72" s="51" t="s">
        <v>189</v>
      </c>
      <c r="D72" s="45" t="n">
        <v>38</v>
      </c>
      <c r="E72" s="64" t="n">
        <v>10</v>
      </c>
      <c r="F72" s="232" t="n">
        <v>0.0882747650852187</v>
      </c>
      <c r="G72" s="233" t="n">
        <v>0.9926</v>
      </c>
      <c r="H72" s="234" t="n">
        <v>0.0876</v>
      </c>
      <c r="I72" s="51" t="n">
        <v>0</v>
      </c>
      <c r="J72" s="235" t="n">
        <v>0</v>
      </c>
      <c r="K72" s="235" t="n">
        <v>2500</v>
      </c>
    </row>
    <row r="73" customFormat="false" ht="15" hidden="false" customHeight="true" outlineLevel="0" collapsed="false">
      <c r="A73" s="54" t="s">
        <v>954</v>
      </c>
      <c r="B73" s="56" t="s">
        <v>865</v>
      </c>
      <c r="C73" s="69" t="s">
        <v>841</v>
      </c>
      <c r="D73" s="54" t="n">
        <v>61</v>
      </c>
      <c r="E73" s="63" t="n">
        <v>7</v>
      </c>
      <c r="F73" s="228" t="n">
        <v>0.10144220163434</v>
      </c>
      <c r="G73" s="229" t="n">
        <v>1.0327</v>
      </c>
      <c r="H73" s="230" t="n">
        <v>0.1048</v>
      </c>
      <c r="I73" s="63" t="n">
        <v>0</v>
      </c>
      <c r="J73" s="231" t="n">
        <v>0</v>
      </c>
      <c r="K73" s="231" t="n">
        <v>2900</v>
      </c>
    </row>
    <row r="74" customFormat="false" ht="15" hidden="false" customHeight="true" outlineLevel="0" collapsed="false">
      <c r="A74" s="45" t="s">
        <v>955</v>
      </c>
      <c r="B74" s="47" t="s">
        <v>865</v>
      </c>
      <c r="C74" s="70" t="s">
        <v>841</v>
      </c>
      <c r="D74" s="45" t="n">
        <v>21</v>
      </c>
      <c r="E74" s="51" t="n">
        <v>8</v>
      </c>
      <c r="F74" s="232" t="n">
        <v>0.0916608903666297</v>
      </c>
      <c r="G74" s="233" t="n">
        <v>1.1498</v>
      </c>
      <c r="H74" s="234" t="n">
        <v>0.1054</v>
      </c>
      <c r="I74" s="51" t="n">
        <v>0</v>
      </c>
      <c r="J74" s="235" t="n">
        <v>0</v>
      </c>
      <c r="K74" s="235" t="n">
        <v>2900</v>
      </c>
    </row>
    <row r="75" customFormat="false" ht="15" hidden="false" customHeight="true" outlineLevel="0" collapsed="false">
      <c r="A75" s="54" t="s">
        <v>956</v>
      </c>
      <c r="B75" s="56" t="s">
        <v>400</v>
      </c>
      <c r="C75" s="60" t="s">
        <v>837</v>
      </c>
      <c r="D75" s="54" t="n">
        <v>44</v>
      </c>
      <c r="E75" s="69" t="n">
        <v>18</v>
      </c>
      <c r="F75" s="228" t="n">
        <v>0.0939285163488786</v>
      </c>
      <c r="G75" s="229" t="n">
        <v>1.1207</v>
      </c>
      <c r="H75" s="230" t="n">
        <v>0.1053</v>
      </c>
      <c r="I75" s="63" t="n">
        <v>0</v>
      </c>
      <c r="J75" s="231" t="n">
        <v>0</v>
      </c>
      <c r="K75" s="231" t="n">
        <v>2900</v>
      </c>
    </row>
    <row r="76" customFormat="false" ht="15" hidden="false" customHeight="true" outlineLevel="0" collapsed="false">
      <c r="A76" s="45" t="s">
        <v>957</v>
      </c>
      <c r="B76" s="47" t="s">
        <v>400</v>
      </c>
      <c r="C76" s="64" t="s">
        <v>837</v>
      </c>
      <c r="D76" s="45" t="n">
        <v>21</v>
      </c>
      <c r="E76" s="70" t="n">
        <v>20</v>
      </c>
      <c r="F76" s="232" t="n">
        <v>0.0947100328411727</v>
      </c>
      <c r="G76" s="233" t="n">
        <v>1.2103</v>
      </c>
      <c r="H76" s="234" t="n">
        <v>0.1146</v>
      </c>
      <c r="I76" s="51" t="n">
        <v>0</v>
      </c>
      <c r="J76" s="235" t="n">
        <v>0</v>
      </c>
      <c r="K76" s="235" t="n">
        <v>3200</v>
      </c>
    </row>
    <row r="77" customFormat="false" ht="15" hidden="false" customHeight="true" outlineLevel="0" collapsed="false">
      <c r="A77" s="54" t="s">
        <v>958</v>
      </c>
      <c r="B77" s="56" t="s">
        <v>496</v>
      </c>
      <c r="C77" s="60" t="s">
        <v>837</v>
      </c>
      <c r="D77" s="54" t="n">
        <v>33</v>
      </c>
      <c r="E77" s="60" t="n">
        <v>10</v>
      </c>
      <c r="F77" s="228" t="n">
        <v>0.09309825151665</v>
      </c>
      <c r="G77" s="229" t="n">
        <v>1.0673</v>
      </c>
      <c r="H77" s="230" t="n">
        <v>0.0994</v>
      </c>
      <c r="I77" s="63" t="n">
        <v>0</v>
      </c>
      <c r="J77" s="231" t="n">
        <v>0</v>
      </c>
      <c r="K77" s="231" t="n">
        <v>2800</v>
      </c>
    </row>
    <row r="78" customFormat="false" ht="15" hidden="false" customHeight="true" outlineLevel="0" collapsed="false">
      <c r="A78" s="45" t="s">
        <v>959</v>
      </c>
      <c r="B78" s="47" t="s">
        <v>865</v>
      </c>
      <c r="C78" s="64" t="s">
        <v>837</v>
      </c>
      <c r="D78" s="45" t="n">
        <v>48</v>
      </c>
      <c r="E78" s="64" t="n">
        <v>15</v>
      </c>
      <c r="F78" s="232" t="n">
        <v>0.098839704282731</v>
      </c>
      <c r="G78" s="233" t="n">
        <v>1.0673</v>
      </c>
      <c r="H78" s="234" t="n">
        <v>0.1055</v>
      </c>
      <c r="I78" s="51" t="n">
        <v>0</v>
      </c>
      <c r="J78" s="235" t="n">
        <v>0</v>
      </c>
      <c r="K78" s="235" t="n">
        <v>2900</v>
      </c>
    </row>
    <row r="79" customFormat="false" ht="15" hidden="false" customHeight="true" outlineLevel="0" collapsed="false">
      <c r="A79" s="54" t="s">
        <v>960</v>
      </c>
      <c r="B79" s="56" t="s">
        <v>877</v>
      </c>
      <c r="C79" s="60" t="s">
        <v>837</v>
      </c>
      <c r="D79" s="54" t="n">
        <v>38</v>
      </c>
      <c r="E79" s="63" t="n">
        <v>5</v>
      </c>
      <c r="F79" s="228" t="n">
        <v>0.0916921783889137</v>
      </c>
      <c r="G79" s="229" t="n">
        <v>1.014</v>
      </c>
      <c r="H79" s="230" t="n">
        <v>0.093</v>
      </c>
      <c r="I79" s="63" t="n">
        <v>0</v>
      </c>
      <c r="J79" s="231" t="n">
        <v>0</v>
      </c>
      <c r="K79" s="231" t="n">
        <v>2700</v>
      </c>
    </row>
    <row r="80" customFormat="false" ht="15" hidden="false" customHeight="true" outlineLevel="0" collapsed="false">
      <c r="A80" s="45" t="s">
        <v>961</v>
      </c>
      <c r="B80" s="47" t="s">
        <v>361</v>
      </c>
      <c r="C80" s="64" t="s">
        <v>837</v>
      </c>
      <c r="D80" s="45" t="n">
        <v>27</v>
      </c>
      <c r="E80" s="70" t="n">
        <v>22</v>
      </c>
      <c r="F80" s="232" t="n">
        <v>0.0921087603946134</v>
      </c>
      <c r="G80" s="233" t="n">
        <v>1.2103</v>
      </c>
      <c r="H80" s="234" t="n">
        <v>0.1115</v>
      </c>
      <c r="I80" s="51" t="n">
        <v>0</v>
      </c>
      <c r="J80" s="235" t="n">
        <v>0</v>
      </c>
      <c r="K80" s="235" t="n">
        <v>3100</v>
      </c>
    </row>
    <row r="81" customFormat="false" ht="15" hidden="false" customHeight="true" outlineLevel="0" collapsed="false">
      <c r="A81" s="54" t="s">
        <v>962</v>
      </c>
      <c r="B81" s="56" t="s">
        <v>496</v>
      </c>
      <c r="C81" s="60" t="s">
        <v>837</v>
      </c>
      <c r="D81" s="54" t="n">
        <v>30</v>
      </c>
      <c r="E81" s="69" t="n">
        <v>18</v>
      </c>
      <c r="F81" s="228" t="n">
        <v>0.0962028474569159</v>
      </c>
      <c r="G81" s="229" t="n">
        <v>1.1207</v>
      </c>
      <c r="H81" s="230" t="n">
        <v>0.1078</v>
      </c>
      <c r="I81" s="63" t="n">
        <v>0</v>
      </c>
      <c r="J81" s="231" t="n">
        <v>0</v>
      </c>
      <c r="K81" s="231" t="n">
        <v>3000</v>
      </c>
    </row>
    <row r="82" customFormat="false" ht="15" hidden="false" customHeight="true" outlineLevel="0" collapsed="false">
      <c r="A82" s="45" t="s">
        <v>963</v>
      </c>
      <c r="B82" s="47" t="s">
        <v>865</v>
      </c>
      <c r="C82" s="64" t="s">
        <v>837</v>
      </c>
      <c r="D82" s="45" t="n">
        <v>44</v>
      </c>
      <c r="E82" s="51" t="n">
        <v>5</v>
      </c>
      <c r="F82" s="232" t="n">
        <v>0.0979176177920486</v>
      </c>
      <c r="G82" s="233" t="n">
        <v>1.014</v>
      </c>
      <c r="H82" s="234" t="n">
        <v>0.0993</v>
      </c>
      <c r="I82" s="51" t="n">
        <v>0</v>
      </c>
      <c r="J82" s="235" t="n">
        <v>0</v>
      </c>
      <c r="K82" s="235" t="n">
        <v>2800</v>
      </c>
    </row>
    <row r="83" customFormat="false" ht="15" hidden="false" customHeight="true" outlineLevel="0" collapsed="false">
      <c r="A83" s="54" t="s">
        <v>964</v>
      </c>
      <c r="B83" s="56" t="s">
        <v>862</v>
      </c>
      <c r="C83" s="63" t="s">
        <v>189</v>
      </c>
      <c r="D83" s="54" t="n">
        <v>30</v>
      </c>
      <c r="E83" s="60" t="n">
        <v>12</v>
      </c>
      <c r="F83" s="228" t="n">
        <v>0.0827521723640964</v>
      </c>
      <c r="G83" s="229" t="n">
        <v>0.9926</v>
      </c>
      <c r="H83" s="230" t="n">
        <v>0.0821</v>
      </c>
      <c r="I83" s="63" t="n">
        <v>0</v>
      </c>
      <c r="J83" s="231" t="n">
        <v>0</v>
      </c>
      <c r="K83" s="231" t="n">
        <v>2400</v>
      </c>
    </row>
    <row r="84" customFormat="false" ht="15" hidden="false" customHeight="true" outlineLevel="0" collapsed="false">
      <c r="A84" s="45" t="s">
        <v>965</v>
      </c>
      <c r="B84" s="47" t="s">
        <v>400</v>
      </c>
      <c r="C84" s="64" t="s">
        <v>837</v>
      </c>
      <c r="D84" s="45" t="n">
        <v>40</v>
      </c>
      <c r="E84" s="70" t="n">
        <v>20</v>
      </c>
      <c r="F84" s="232" t="n">
        <v>0.092994523690761</v>
      </c>
      <c r="G84" s="233" t="n">
        <v>1.1207</v>
      </c>
      <c r="H84" s="234" t="n">
        <v>0.1042</v>
      </c>
      <c r="I84" s="51" t="n">
        <v>0</v>
      </c>
      <c r="J84" s="235" t="n">
        <v>0</v>
      </c>
      <c r="K84" s="235" t="n">
        <v>2900</v>
      </c>
    </row>
    <row r="85" customFormat="false" ht="15" hidden="false" customHeight="true" outlineLevel="0" collapsed="false">
      <c r="A85" s="54" t="s">
        <v>966</v>
      </c>
      <c r="B85" s="56" t="s">
        <v>862</v>
      </c>
      <c r="C85" s="63" t="s">
        <v>189</v>
      </c>
      <c r="D85" s="54" t="n">
        <v>38</v>
      </c>
      <c r="E85" s="69" t="n">
        <v>22</v>
      </c>
      <c r="F85" s="228" t="n">
        <v>0.0884656561599513</v>
      </c>
      <c r="G85" s="229" t="n">
        <v>1.0422</v>
      </c>
      <c r="H85" s="230" t="n">
        <v>0.0922</v>
      </c>
      <c r="I85" s="63" t="n">
        <v>0</v>
      </c>
      <c r="J85" s="231" t="n">
        <v>0</v>
      </c>
      <c r="K85" s="231" t="n">
        <v>2600</v>
      </c>
    </row>
    <row r="86" customFormat="false" ht="15" hidden="false" customHeight="true" outlineLevel="0" collapsed="false">
      <c r="A86" s="45" t="s">
        <v>967</v>
      </c>
      <c r="B86" s="47" t="s">
        <v>875</v>
      </c>
      <c r="C86" s="51" t="s">
        <v>189</v>
      </c>
      <c r="D86" s="45" t="n">
        <v>31</v>
      </c>
      <c r="E86" s="51" t="n">
        <v>6</v>
      </c>
      <c r="F86" s="232" t="n">
        <v>0.0872000826178462</v>
      </c>
      <c r="G86" s="233" t="n">
        <v>0.943</v>
      </c>
      <c r="H86" s="234" t="n">
        <v>0.0822</v>
      </c>
      <c r="I86" s="51" t="n">
        <v>0</v>
      </c>
      <c r="J86" s="235" t="n">
        <v>0</v>
      </c>
      <c r="K86" s="235" t="n">
        <v>2400</v>
      </c>
    </row>
    <row r="87" customFormat="false" ht="15" hidden="false" customHeight="true" outlineLevel="0" collapsed="false">
      <c r="A87" s="54" t="s">
        <v>968</v>
      </c>
      <c r="B87" s="56" t="s">
        <v>865</v>
      </c>
      <c r="C87" s="69" t="s">
        <v>841</v>
      </c>
      <c r="D87" s="54" t="n">
        <v>59</v>
      </c>
      <c r="E87" s="69" t="n">
        <v>18</v>
      </c>
      <c r="F87" s="228" t="n">
        <v>0.09004832877755</v>
      </c>
      <c r="G87" s="229" t="n">
        <v>1.1414</v>
      </c>
      <c r="H87" s="230" t="n">
        <v>0.1028</v>
      </c>
      <c r="I87" s="63" t="n">
        <v>0</v>
      </c>
      <c r="J87" s="231" t="n">
        <v>0</v>
      </c>
      <c r="K87" s="231" t="n">
        <v>2900</v>
      </c>
    </row>
    <row r="88" customFormat="false" ht="15" hidden="false" customHeight="true" outlineLevel="0" collapsed="false">
      <c r="A88" s="35" t="s">
        <v>969</v>
      </c>
      <c r="B88" s="37" t="s">
        <v>873</v>
      </c>
      <c r="C88" s="67" t="s">
        <v>189</v>
      </c>
      <c r="D88" s="35" t="n">
        <v>44</v>
      </c>
      <c r="E88" s="41" t="n">
        <v>14</v>
      </c>
      <c r="F88" s="236" t="n">
        <v>0.0894961969255377</v>
      </c>
      <c r="G88" s="237" t="n">
        <v>0.9926</v>
      </c>
      <c r="H88" s="238" t="n">
        <v>0.0888</v>
      </c>
      <c r="I88" s="44" t="n">
        <v>1</v>
      </c>
      <c r="J88" s="239" t="n">
        <v>5400</v>
      </c>
      <c r="K88" s="239" t="n">
        <v>2600</v>
      </c>
    </row>
    <row r="89" customFormat="false" ht="15" hidden="false" customHeight="true" outlineLevel="0" collapsed="false">
      <c r="A89" s="54" t="s">
        <v>970</v>
      </c>
      <c r="B89" s="56" t="s">
        <v>496</v>
      </c>
      <c r="C89" s="60" t="s">
        <v>837</v>
      </c>
      <c r="D89" s="54" t="n">
        <v>21</v>
      </c>
      <c r="E89" s="69" t="n">
        <v>18</v>
      </c>
      <c r="F89" s="228" t="n">
        <v>0.0853196323538052</v>
      </c>
      <c r="G89" s="229" t="n">
        <v>1.2103</v>
      </c>
      <c r="H89" s="230" t="n">
        <v>0.1033</v>
      </c>
      <c r="I89" s="63" t="n">
        <v>0</v>
      </c>
      <c r="J89" s="231" t="n">
        <v>0</v>
      </c>
      <c r="K89" s="231" t="n">
        <v>2900</v>
      </c>
    </row>
    <row r="90" customFormat="false" ht="15" hidden="false" customHeight="true" outlineLevel="0" collapsed="false">
      <c r="A90" s="45" t="s">
        <v>971</v>
      </c>
      <c r="B90" s="47" t="s">
        <v>865</v>
      </c>
      <c r="C90" s="64" t="s">
        <v>837</v>
      </c>
      <c r="D90" s="45" t="n">
        <v>39</v>
      </c>
      <c r="E90" s="64" t="n">
        <v>11</v>
      </c>
      <c r="F90" s="232" t="n">
        <v>0.0981088098674056</v>
      </c>
      <c r="G90" s="233" t="n">
        <v>1.0673</v>
      </c>
      <c r="H90" s="234" t="n">
        <v>0.1047</v>
      </c>
      <c r="I90" s="51" t="n">
        <v>0</v>
      </c>
      <c r="J90" s="235" t="n">
        <v>0</v>
      </c>
      <c r="K90" s="235" t="n">
        <v>2900</v>
      </c>
    </row>
    <row r="91" customFormat="false" ht="15" hidden="false" customHeight="true" outlineLevel="0" collapsed="false">
      <c r="A91" s="54" t="s">
        <v>972</v>
      </c>
      <c r="B91" s="56" t="s">
        <v>870</v>
      </c>
      <c r="C91" s="60" t="s">
        <v>837</v>
      </c>
      <c r="D91" s="54" t="n">
        <v>31</v>
      </c>
      <c r="E91" s="69" t="n">
        <v>22</v>
      </c>
      <c r="F91" s="228" t="n">
        <v>0.0853675472920617</v>
      </c>
      <c r="G91" s="229" t="n">
        <v>1.1207</v>
      </c>
      <c r="H91" s="230" t="n">
        <v>0.0957</v>
      </c>
      <c r="I91" s="63" t="n">
        <v>0</v>
      </c>
      <c r="J91" s="231" t="n">
        <v>0</v>
      </c>
      <c r="K91" s="231" t="n">
        <v>2700</v>
      </c>
    </row>
    <row r="92" customFormat="false" ht="15" hidden="false" customHeight="true" outlineLevel="0" collapsed="false">
      <c r="A92" s="45" t="s">
        <v>973</v>
      </c>
      <c r="B92" s="47" t="s">
        <v>865</v>
      </c>
      <c r="C92" s="70" t="s">
        <v>841</v>
      </c>
      <c r="D92" s="45" t="n">
        <v>46</v>
      </c>
      <c r="E92" s="64" t="n">
        <v>13</v>
      </c>
      <c r="F92" s="232" t="n">
        <v>0.107047946908775</v>
      </c>
      <c r="G92" s="233" t="n">
        <v>1.1207</v>
      </c>
      <c r="H92" s="234" t="n">
        <v>0.12</v>
      </c>
      <c r="I92" s="51" t="n">
        <v>0</v>
      </c>
      <c r="J92" s="235" t="n">
        <v>0</v>
      </c>
      <c r="K92" s="235" t="n">
        <v>3300</v>
      </c>
    </row>
    <row r="93" customFormat="false" ht="15" hidden="false" customHeight="true" outlineLevel="0" collapsed="false">
      <c r="A93" s="54" t="s">
        <v>974</v>
      </c>
      <c r="B93" s="56" t="s">
        <v>877</v>
      </c>
      <c r="C93" s="60" t="s">
        <v>837</v>
      </c>
      <c r="D93" s="54" t="n">
        <v>30</v>
      </c>
      <c r="E93" s="63" t="n">
        <v>8</v>
      </c>
      <c r="F93" s="228" t="n">
        <v>0.0847117781285602</v>
      </c>
      <c r="G93" s="229" t="n">
        <v>1.014</v>
      </c>
      <c r="H93" s="230" t="n">
        <v>0.0859</v>
      </c>
      <c r="I93" s="63" t="n">
        <v>0</v>
      </c>
      <c r="J93" s="231" t="n">
        <v>0</v>
      </c>
      <c r="K93" s="231" t="n">
        <v>2500</v>
      </c>
    </row>
    <row r="94" customFormat="false" ht="15" hidden="false" customHeight="true" outlineLevel="0" collapsed="false">
      <c r="A94" s="45" t="s">
        <v>975</v>
      </c>
      <c r="B94" s="47" t="s">
        <v>400</v>
      </c>
      <c r="C94" s="64" t="s">
        <v>837</v>
      </c>
      <c r="D94" s="45" t="n">
        <v>36</v>
      </c>
      <c r="E94" s="51" t="n">
        <v>6</v>
      </c>
      <c r="F94" s="232" t="n">
        <v>0.101849724512894</v>
      </c>
      <c r="G94" s="233" t="n">
        <v>1.014</v>
      </c>
      <c r="H94" s="234" t="n">
        <v>0.1033</v>
      </c>
      <c r="I94" s="51" t="n">
        <v>0</v>
      </c>
      <c r="J94" s="235" t="n">
        <v>0</v>
      </c>
      <c r="K94" s="235" t="n">
        <v>2900</v>
      </c>
    </row>
    <row r="95" customFormat="false" ht="15" hidden="false" customHeight="true" outlineLevel="0" collapsed="false">
      <c r="A95" s="54" t="s">
        <v>976</v>
      </c>
      <c r="B95" s="56" t="s">
        <v>865</v>
      </c>
      <c r="C95" s="60" t="s">
        <v>837</v>
      </c>
      <c r="D95" s="54" t="n">
        <v>43</v>
      </c>
      <c r="E95" s="60" t="n">
        <v>9</v>
      </c>
      <c r="F95" s="228" t="n">
        <v>0.0869935448387628</v>
      </c>
      <c r="G95" s="229" t="n">
        <v>1.0673</v>
      </c>
      <c r="H95" s="230" t="n">
        <v>0.0928</v>
      </c>
      <c r="I95" s="63" t="n">
        <v>0</v>
      </c>
      <c r="J95" s="231" t="n">
        <v>0</v>
      </c>
      <c r="K95" s="231" t="n">
        <v>2600</v>
      </c>
    </row>
    <row r="96" customFormat="false" ht="15" hidden="false" customHeight="true" outlineLevel="0" collapsed="false">
      <c r="A96" s="45" t="s">
        <v>977</v>
      </c>
      <c r="B96" s="47" t="s">
        <v>875</v>
      </c>
      <c r="C96" s="51" t="s">
        <v>189</v>
      </c>
      <c r="D96" s="45" t="n">
        <v>46</v>
      </c>
      <c r="E96" s="70" t="n">
        <v>17</v>
      </c>
      <c r="F96" s="232" t="n">
        <v>0.0817891745183128</v>
      </c>
      <c r="G96" s="233" t="n">
        <v>1.0422</v>
      </c>
      <c r="H96" s="234" t="n">
        <v>0.0852</v>
      </c>
      <c r="I96" s="51" t="n">
        <v>0</v>
      </c>
      <c r="J96" s="235" t="n">
        <v>0</v>
      </c>
      <c r="K96" s="235" t="n">
        <v>2500</v>
      </c>
    </row>
    <row r="97" customFormat="false" ht="15" hidden="false" customHeight="true" outlineLevel="0" collapsed="false">
      <c r="A97" s="35" t="s">
        <v>978</v>
      </c>
      <c r="B97" s="37" t="s">
        <v>865</v>
      </c>
      <c r="C97" s="44" t="s">
        <v>841</v>
      </c>
      <c r="D97" s="35" t="n">
        <v>25</v>
      </c>
      <c r="E97" s="44" t="n">
        <v>18</v>
      </c>
      <c r="F97" s="236" t="n">
        <v>0.0955034465569245</v>
      </c>
      <c r="G97" s="237" t="n">
        <v>1.2709</v>
      </c>
      <c r="H97" s="238" t="n">
        <v>0.1214</v>
      </c>
      <c r="I97" s="44" t="n">
        <v>1</v>
      </c>
      <c r="J97" s="239" t="n">
        <v>76600</v>
      </c>
      <c r="K97" s="239" t="n">
        <v>3300</v>
      </c>
    </row>
    <row r="98" customFormat="false" ht="15" hidden="false" customHeight="true" outlineLevel="0" collapsed="false">
      <c r="A98" s="45" t="s">
        <v>979</v>
      </c>
      <c r="B98" s="47" t="s">
        <v>361</v>
      </c>
      <c r="C98" s="64" t="s">
        <v>837</v>
      </c>
      <c r="D98" s="45" t="n">
        <v>34</v>
      </c>
      <c r="E98" s="64" t="n">
        <v>13</v>
      </c>
      <c r="F98" s="232" t="n">
        <v>0.0958940723145509</v>
      </c>
      <c r="G98" s="233" t="n">
        <v>1.0673</v>
      </c>
      <c r="H98" s="234" t="n">
        <v>0.1023</v>
      </c>
      <c r="I98" s="51" t="n">
        <v>0</v>
      </c>
      <c r="J98" s="235" t="n">
        <v>0</v>
      </c>
      <c r="K98" s="235" t="n">
        <v>2900</v>
      </c>
    </row>
    <row r="99" customFormat="false" ht="15" hidden="false" customHeight="true" outlineLevel="0" collapsed="false">
      <c r="A99" s="35" t="s">
        <v>980</v>
      </c>
      <c r="B99" s="37" t="s">
        <v>400</v>
      </c>
      <c r="C99" s="41" t="s">
        <v>837</v>
      </c>
      <c r="D99" s="35" t="n">
        <v>33</v>
      </c>
      <c r="E99" s="44" t="n">
        <v>20</v>
      </c>
      <c r="F99" s="236" t="n">
        <v>0.0885457856032186</v>
      </c>
      <c r="G99" s="237" t="n">
        <v>1.1207</v>
      </c>
      <c r="H99" s="238" t="n">
        <v>0.0992</v>
      </c>
      <c r="I99" s="44" t="n">
        <v>1</v>
      </c>
      <c r="J99" s="239" t="n">
        <v>58100</v>
      </c>
      <c r="K99" s="239" t="n">
        <v>2800</v>
      </c>
    </row>
    <row r="100" customFormat="false" ht="15" hidden="false" customHeight="true" outlineLevel="0" collapsed="false">
      <c r="A100" s="45" t="s">
        <v>981</v>
      </c>
      <c r="B100" s="47" t="s">
        <v>873</v>
      </c>
      <c r="C100" s="51" t="s">
        <v>189</v>
      </c>
      <c r="D100" s="45" t="n">
        <v>31</v>
      </c>
      <c r="E100" s="70" t="n">
        <v>19</v>
      </c>
      <c r="F100" s="232" t="n">
        <v>0.0846968109107232</v>
      </c>
      <c r="G100" s="233" t="n">
        <v>1.0422</v>
      </c>
      <c r="H100" s="234" t="n">
        <v>0.0883</v>
      </c>
      <c r="I100" s="51" t="n">
        <v>0</v>
      </c>
      <c r="J100" s="235" t="n">
        <v>0</v>
      </c>
      <c r="K100" s="235" t="n">
        <v>2500</v>
      </c>
    </row>
    <row r="101" customFormat="false" ht="15" hidden="false" customHeight="true" outlineLevel="0" collapsed="false">
      <c r="A101" s="54" t="s">
        <v>982</v>
      </c>
      <c r="B101" s="56" t="s">
        <v>875</v>
      </c>
      <c r="C101" s="63" t="s">
        <v>189</v>
      </c>
      <c r="D101" s="54" t="n">
        <v>55</v>
      </c>
      <c r="E101" s="69" t="n">
        <v>22</v>
      </c>
      <c r="F101" s="228" t="n">
        <v>0.0799543173637733</v>
      </c>
      <c r="G101" s="229" t="n">
        <v>1.0422</v>
      </c>
      <c r="H101" s="230" t="n">
        <v>0.0833</v>
      </c>
      <c r="I101" s="63" t="n">
        <v>0</v>
      </c>
      <c r="J101" s="231" t="n">
        <v>0</v>
      </c>
      <c r="K101" s="231" t="n">
        <v>2400</v>
      </c>
    </row>
    <row r="102" customFormat="false" ht="15" hidden="false" customHeight="true" outlineLevel="0" collapsed="false">
      <c r="A102" s="45" t="s">
        <v>983</v>
      </c>
      <c r="B102" s="47" t="s">
        <v>875</v>
      </c>
      <c r="C102" s="51" t="s">
        <v>189</v>
      </c>
      <c r="D102" s="45" t="n">
        <v>42</v>
      </c>
      <c r="E102" s="70" t="n">
        <v>20</v>
      </c>
      <c r="F102" s="232" t="n">
        <v>0.0773707367662885</v>
      </c>
      <c r="G102" s="233" t="n">
        <v>1.0422</v>
      </c>
      <c r="H102" s="234" t="n">
        <v>0.0806</v>
      </c>
      <c r="I102" s="51" t="n">
        <v>0</v>
      </c>
      <c r="J102" s="235" t="n">
        <v>0</v>
      </c>
      <c r="K102" s="235" t="n">
        <v>2400</v>
      </c>
    </row>
    <row r="103" customFormat="false" ht="15" hidden="false" customHeight="true" outlineLevel="0" collapsed="false">
      <c r="A103" s="54" t="s">
        <v>984</v>
      </c>
      <c r="B103" s="56" t="s">
        <v>361</v>
      </c>
      <c r="C103" s="60" t="s">
        <v>837</v>
      </c>
      <c r="D103" s="54" t="n">
        <v>25</v>
      </c>
      <c r="E103" s="60" t="n">
        <v>9</v>
      </c>
      <c r="F103" s="228" t="n">
        <v>0.0933228422183428</v>
      </c>
      <c r="G103" s="229" t="n">
        <v>1.1527</v>
      </c>
      <c r="H103" s="230" t="n">
        <v>0.1076</v>
      </c>
      <c r="I103" s="63" t="n">
        <v>0</v>
      </c>
      <c r="J103" s="231" t="n">
        <v>0</v>
      </c>
      <c r="K103" s="231" t="n">
        <v>3000</v>
      </c>
    </row>
    <row r="104" customFormat="false" ht="15" hidden="false" customHeight="true" outlineLevel="0" collapsed="false">
      <c r="A104" s="45" t="s">
        <v>985</v>
      </c>
      <c r="B104" s="47" t="s">
        <v>361</v>
      </c>
      <c r="C104" s="64" t="s">
        <v>837</v>
      </c>
      <c r="D104" s="45" t="n">
        <v>47</v>
      </c>
      <c r="E104" s="51" t="n">
        <v>6</v>
      </c>
      <c r="F104" s="232" t="n">
        <v>0.0829188585131727</v>
      </c>
      <c r="G104" s="233" t="n">
        <v>1.014</v>
      </c>
      <c r="H104" s="234" t="n">
        <v>0.0841</v>
      </c>
      <c r="I104" s="51" t="n">
        <v>0</v>
      </c>
      <c r="J104" s="235" t="n">
        <v>0</v>
      </c>
      <c r="K104" s="235" t="n">
        <v>2400</v>
      </c>
    </row>
    <row r="105" customFormat="false" ht="15" hidden="false" customHeight="true" outlineLevel="0" collapsed="false">
      <c r="A105" s="54" t="s">
        <v>986</v>
      </c>
      <c r="B105" s="56" t="s">
        <v>875</v>
      </c>
      <c r="C105" s="63" t="s">
        <v>189</v>
      </c>
      <c r="D105" s="54" t="n">
        <v>59</v>
      </c>
      <c r="E105" s="63" t="n">
        <v>5</v>
      </c>
      <c r="F105" s="228" t="n">
        <v>0.074484743584608</v>
      </c>
      <c r="G105" s="229" t="n">
        <v>0.9147</v>
      </c>
      <c r="H105" s="230" t="n">
        <v>0.0681</v>
      </c>
      <c r="I105" s="63" t="n">
        <v>0</v>
      </c>
      <c r="J105" s="231" t="n">
        <v>0</v>
      </c>
      <c r="K105" s="231" t="n">
        <v>2100</v>
      </c>
    </row>
    <row r="106" customFormat="false" ht="15" hidden="false" customHeight="true" outlineLevel="0" collapsed="false">
      <c r="A106" s="45" t="s">
        <v>987</v>
      </c>
      <c r="B106" s="47" t="s">
        <v>400</v>
      </c>
      <c r="C106" s="64" t="s">
        <v>837</v>
      </c>
      <c r="D106" s="45" t="n">
        <v>48</v>
      </c>
      <c r="E106" s="51" t="n">
        <v>5</v>
      </c>
      <c r="F106" s="232" t="n">
        <v>0.101836764776413</v>
      </c>
      <c r="G106" s="233" t="n">
        <v>1.014</v>
      </c>
      <c r="H106" s="234" t="n">
        <v>0.1033</v>
      </c>
      <c r="I106" s="51" t="n">
        <v>0</v>
      </c>
      <c r="J106" s="235" t="n">
        <v>0</v>
      </c>
      <c r="K106" s="235" t="n">
        <v>2900</v>
      </c>
    </row>
    <row r="107" customFormat="false" ht="15" hidden="false" customHeight="true" outlineLevel="0" collapsed="false">
      <c r="A107" s="54" t="s">
        <v>988</v>
      </c>
      <c r="B107" s="56" t="s">
        <v>290</v>
      </c>
      <c r="C107" s="60" t="s">
        <v>837</v>
      </c>
      <c r="D107" s="54" t="n">
        <v>22</v>
      </c>
      <c r="E107" s="60" t="n">
        <v>9</v>
      </c>
      <c r="F107" s="228" t="n">
        <v>0.09964295528084</v>
      </c>
      <c r="G107" s="229" t="n">
        <v>1.1527</v>
      </c>
      <c r="H107" s="230" t="n">
        <v>0.1149</v>
      </c>
      <c r="I107" s="63" t="n">
        <v>0</v>
      </c>
      <c r="J107" s="231" t="n">
        <v>0</v>
      </c>
      <c r="K107" s="231" t="n">
        <v>3200</v>
      </c>
    </row>
    <row r="108" customFormat="false" ht="15" hidden="false" customHeight="true" outlineLevel="0" collapsed="false">
      <c r="A108" s="45" t="s">
        <v>989</v>
      </c>
      <c r="B108" s="47" t="s">
        <v>877</v>
      </c>
      <c r="C108" s="64" t="s">
        <v>837</v>
      </c>
      <c r="D108" s="45" t="n">
        <v>33</v>
      </c>
      <c r="E108" s="64" t="n">
        <v>13</v>
      </c>
      <c r="F108" s="232" t="n">
        <v>0.083866799690513</v>
      </c>
      <c r="G108" s="233" t="n">
        <v>1.0673</v>
      </c>
      <c r="H108" s="234" t="n">
        <v>0.0895</v>
      </c>
      <c r="I108" s="51" t="n">
        <v>0</v>
      </c>
      <c r="J108" s="235" t="n">
        <v>0</v>
      </c>
      <c r="K108" s="235" t="n">
        <v>2600</v>
      </c>
    </row>
    <row r="109" customFormat="false" ht="15" hidden="false" customHeight="true" outlineLevel="0" collapsed="false">
      <c r="A109" s="54" t="s">
        <v>990</v>
      </c>
      <c r="B109" s="56" t="s">
        <v>862</v>
      </c>
      <c r="C109" s="63" t="s">
        <v>189</v>
      </c>
      <c r="D109" s="54" t="n">
        <v>50</v>
      </c>
      <c r="E109" s="60" t="n">
        <v>10</v>
      </c>
      <c r="F109" s="228" t="n">
        <v>0.0730357455009731</v>
      </c>
      <c r="G109" s="229" t="n">
        <v>0.9926</v>
      </c>
      <c r="H109" s="230" t="n">
        <v>0.0725</v>
      </c>
      <c r="I109" s="63" t="n">
        <v>0</v>
      </c>
      <c r="J109" s="231" t="n">
        <v>0</v>
      </c>
      <c r="K109" s="231" t="n">
        <v>2200</v>
      </c>
    </row>
    <row r="110" customFormat="false" ht="15" hidden="false" customHeight="true" outlineLevel="0" collapsed="false">
      <c r="A110" s="35" t="s">
        <v>991</v>
      </c>
      <c r="B110" s="37" t="s">
        <v>496</v>
      </c>
      <c r="C110" s="41" t="s">
        <v>837</v>
      </c>
      <c r="D110" s="35" t="n">
        <v>30</v>
      </c>
      <c r="E110" s="41" t="n">
        <v>12</v>
      </c>
      <c r="F110" s="236" t="n">
        <v>0.0905846188151069</v>
      </c>
      <c r="G110" s="237" t="n">
        <v>1.0673</v>
      </c>
      <c r="H110" s="238" t="n">
        <v>0.0967</v>
      </c>
      <c r="I110" s="44" t="n">
        <v>1</v>
      </c>
      <c r="J110" s="239" t="n">
        <v>10400</v>
      </c>
      <c r="K110" s="239" t="n">
        <v>2700</v>
      </c>
    </row>
    <row r="111" customFormat="false" ht="15" hidden="false" customHeight="true" outlineLevel="0" collapsed="false">
      <c r="A111" s="54" t="s">
        <v>992</v>
      </c>
      <c r="B111" s="56" t="s">
        <v>862</v>
      </c>
      <c r="C111" s="63" t="s">
        <v>189</v>
      </c>
      <c r="D111" s="54" t="n">
        <v>42</v>
      </c>
      <c r="E111" s="60" t="n">
        <v>12</v>
      </c>
      <c r="F111" s="228" t="n">
        <v>0.0823888850927327</v>
      </c>
      <c r="G111" s="229" t="n">
        <v>0.9926</v>
      </c>
      <c r="H111" s="230" t="n">
        <v>0.0818</v>
      </c>
      <c r="I111" s="63" t="n">
        <v>0</v>
      </c>
      <c r="J111" s="231" t="n">
        <v>0</v>
      </c>
      <c r="K111" s="231" t="n">
        <v>2400</v>
      </c>
    </row>
    <row r="112" customFormat="false" ht="15" hidden="false" customHeight="true" outlineLevel="0" collapsed="false">
      <c r="A112" s="45" t="s">
        <v>993</v>
      </c>
      <c r="B112" s="47" t="s">
        <v>862</v>
      </c>
      <c r="C112" s="51" t="s">
        <v>189</v>
      </c>
      <c r="D112" s="45" t="n">
        <v>45</v>
      </c>
      <c r="E112" s="64" t="n">
        <v>15</v>
      </c>
      <c r="F112" s="232" t="n">
        <v>0.088342180538266</v>
      </c>
      <c r="G112" s="233" t="n">
        <v>0.9926</v>
      </c>
      <c r="H112" s="234" t="n">
        <v>0.0877</v>
      </c>
      <c r="I112" s="51" t="n">
        <v>0</v>
      </c>
      <c r="J112" s="235" t="n">
        <v>0</v>
      </c>
      <c r="K112" s="235" t="n">
        <v>2500</v>
      </c>
    </row>
    <row r="113" customFormat="false" ht="15" hidden="false" customHeight="true" outlineLevel="0" collapsed="false">
      <c r="A113" s="54" t="s">
        <v>994</v>
      </c>
      <c r="B113" s="56" t="s">
        <v>400</v>
      </c>
      <c r="C113" s="60" t="s">
        <v>837</v>
      </c>
      <c r="D113" s="54" t="n">
        <v>28</v>
      </c>
      <c r="E113" s="60" t="n">
        <v>9</v>
      </c>
      <c r="F113" s="228" t="n">
        <v>0.0915540048287553</v>
      </c>
      <c r="G113" s="229" t="n">
        <v>1.0673</v>
      </c>
      <c r="H113" s="230" t="n">
        <v>0.0977</v>
      </c>
      <c r="I113" s="63" t="n">
        <v>0</v>
      </c>
      <c r="J113" s="231" t="n">
        <v>0</v>
      </c>
      <c r="K113" s="231" t="n">
        <v>2800</v>
      </c>
    </row>
    <row r="114" customFormat="false" ht="15" hidden="false" customHeight="true" outlineLevel="0" collapsed="false">
      <c r="A114" s="45" t="s">
        <v>995</v>
      </c>
      <c r="B114" s="47" t="s">
        <v>862</v>
      </c>
      <c r="C114" s="51" t="s">
        <v>189</v>
      </c>
      <c r="D114" s="45" t="n">
        <v>37</v>
      </c>
      <c r="E114" s="51" t="n">
        <v>8</v>
      </c>
      <c r="F114" s="232" t="n">
        <v>0.0740640306641685</v>
      </c>
      <c r="G114" s="233" t="n">
        <v>0.943</v>
      </c>
      <c r="H114" s="234" t="n">
        <v>0.0698</v>
      </c>
      <c r="I114" s="51" t="n">
        <v>0</v>
      </c>
      <c r="J114" s="235" t="n">
        <v>0</v>
      </c>
      <c r="K114" s="235" t="n">
        <v>2100</v>
      </c>
    </row>
    <row r="115" customFormat="false" ht="15" hidden="false" customHeight="true" outlineLevel="0" collapsed="false">
      <c r="A115" s="54" t="s">
        <v>996</v>
      </c>
      <c r="B115" s="56" t="s">
        <v>865</v>
      </c>
      <c r="C115" s="69" t="s">
        <v>841</v>
      </c>
      <c r="D115" s="54" t="n">
        <v>21</v>
      </c>
      <c r="E115" s="69" t="n">
        <v>17</v>
      </c>
      <c r="F115" s="228" t="n">
        <v>0.103469209673013</v>
      </c>
      <c r="G115" s="229" t="n">
        <v>1.2709</v>
      </c>
      <c r="H115" s="230" t="n">
        <v>0.1315</v>
      </c>
      <c r="I115" s="63" t="n">
        <v>0</v>
      </c>
      <c r="J115" s="231" t="n">
        <v>0</v>
      </c>
      <c r="K115" s="231" t="n">
        <v>3500</v>
      </c>
    </row>
    <row r="116" customFormat="false" ht="15" hidden="false" customHeight="true" outlineLevel="0" collapsed="false">
      <c r="A116" s="45" t="s">
        <v>997</v>
      </c>
      <c r="B116" s="47" t="s">
        <v>865</v>
      </c>
      <c r="C116" s="64" t="s">
        <v>837</v>
      </c>
      <c r="D116" s="45" t="n">
        <v>27</v>
      </c>
      <c r="E116" s="64" t="n">
        <v>9</v>
      </c>
      <c r="F116" s="232" t="n">
        <v>0.0833682321504516</v>
      </c>
      <c r="G116" s="233" t="n">
        <v>1.1527</v>
      </c>
      <c r="H116" s="234" t="n">
        <v>0.0961</v>
      </c>
      <c r="I116" s="51" t="n">
        <v>0</v>
      </c>
      <c r="J116" s="235" t="n">
        <v>0</v>
      </c>
      <c r="K116" s="235" t="n">
        <v>2700</v>
      </c>
    </row>
    <row r="117" customFormat="false" ht="15" hidden="false" customHeight="true" outlineLevel="0" collapsed="false">
      <c r="A117" s="54" t="s">
        <v>998</v>
      </c>
      <c r="B117" s="56" t="s">
        <v>496</v>
      </c>
      <c r="C117" s="60" t="s">
        <v>837</v>
      </c>
      <c r="D117" s="54" t="n">
        <v>35</v>
      </c>
      <c r="E117" s="60" t="n">
        <v>10</v>
      </c>
      <c r="F117" s="228" t="n">
        <v>0.090801988415597</v>
      </c>
      <c r="G117" s="229" t="n">
        <v>1.0673</v>
      </c>
      <c r="H117" s="230" t="n">
        <v>0.0969</v>
      </c>
      <c r="I117" s="63" t="n">
        <v>0</v>
      </c>
      <c r="J117" s="231" t="n">
        <v>0</v>
      </c>
      <c r="K117" s="231" t="n">
        <v>2700</v>
      </c>
    </row>
    <row r="118" customFormat="false" ht="15" hidden="false" customHeight="true" outlineLevel="0" collapsed="false">
      <c r="A118" s="45" t="s">
        <v>999</v>
      </c>
      <c r="B118" s="47" t="s">
        <v>496</v>
      </c>
      <c r="C118" s="64" t="s">
        <v>837</v>
      </c>
      <c r="D118" s="45" t="n">
        <v>25</v>
      </c>
      <c r="E118" s="64" t="n">
        <v>9</v>
      </c>
      <c r="F118" s="232" t="n">
        <v>0.100397882493095</v>
      </c>
      <c r="G118" s="233" t="n">
        <v>1.1527</v>
      </c>
      <c r="H118" s="234" t="n">
        <v>0.1157</v>
      </c>
      <c r="I118" s="51" t="n">
        <v>0</v>
      </c>
      <c r="J118" s="235" t="n">
        <v>0</v>
      </c>
      <c r="K118" s="235" t="n">
        <v>3200</v>
      </c>
    </row>
    <row r="119" customFormat="false" ht="15" hidden="false" customHeight="true" outlineLevel="0" collapsed="false">
      <c r="A119" s="54" t="s">
        <v>1000</v>
      </c>
      <c r="B119" s="56" t="s">
        <v>400</v>
      </c>
      <c r="C119" s="60" t="s">
        <v>837</v>
      </c>
      <c r="D119" s="54" t="n">
        <v>54</v>
      </c>
      <c r="E119" s="60" t="n">
        <v>11</v>
      </c>
      <c r="F119" s="228" t="n">
        <v>0.0837337606693198</v>
      </c>
      <c r="G119" s="229" t="n">
        <v>1.0673</v>
      </c>
      <c r="H119" s="230" t="n">
        <v>0.0894</v>
      </c>
      <c r="I119" s="63" t="n">
        <v>0</v>
      </c>
      <c r="J119" s="231" t="n">
        <v>0</v>
      </c>
      <c r="K119" s="231" t="n">
        <v>2600</v>
      </c>
    </row>
    <row r="120" customFormat="false" ht="15" hidden="false" customHeight="true" outlineLevel="0" collapsed="false">
      <c r="A120" s="45" t="s">
        <v>1001</v>
      </c>
      <c r="B120" s="47" t="s">
        <v>873</v>
      </c>
      <c r="C120" s="51" t="s">
        <v>189</v>
      </c>
      <c r="D120" s="45" t="n">
        <v>23</v>
      </c>
      <c r="E120" s="70" t="n">
        <v>17</v>
      </c>
      <c r="F120" s="232" t="n">
        <v>0.0790307128076626</v>
      </c>
      <c r="G120" s="233" t="n">
        <v>1.1256</v>
      </c>
      <c r="H120" s="234" t="n">
        <v>0.089</v>
      </c>
      <c r="I120" s="51" t="n">
        <v>0</v>
      </c>
      <c r="J120" s="235" t="n">
        <v>0</v>
      </c>
      <c r="K120" s="235" t="n">
        <v>2600</v>
      </c>
    </row>
    <row r="121" customFormat="false" ht="15" hidden="false" customHeight="true" outlineLevel="0" collapsed="false">
      <c r="A121" s="54" t="s">
        <v>1002</v>
      </c>
      <c r="B121" s="56" t="s">
        <v>873</v>
      </c>
      <c r="C121" s="63" t="s">
        <v>189</v>
      </c>
      <c r="D121" s="54" t="n">
        <v>33</v>
      </c>
      <c r="E121" s="60" t="n">
        <v>12</v>
      </c>
      <c r="F121" s="228" t="n">
        <v>0.0775393531388969</v>
      </c>
      <c r="G121" s="229" t="n">
        <v>0.9926</v>
      </c>
      <c r="H121" s="230" t="n">
        <v>0.077</v>
      </c>
      <c r="I121" s="63" t="n">
        <v>0</v>
      </c>
      <c r="J121" s="231" t="n">
        <v>0</v>
      </c>
      <c r="K121" s="231" t="n">
        <v>2300</v>
      </c>
    </row>
    <row r="122" customFormat="false" ht="15" hidden="false" customHeight="true" outlineLevel="0" collapsed="false">
      <c r="A122" s="45" t="s">
        <v>1003</v>
      </c>
      <c r="B122" s="47" t="s">
        <v>870</v>
      </c>
      <c r="C122" s="64" t="s">
        <v>837</v>
      </c>
      <c r="D122" s="45" t="n">
        <v>39</v>
      </c>
      <c r="E122" s="64" t="n">
        <v>14</v>
      </c>
      <c r="F122" s="232" t="n">
        <v>0.0975793930502652</v>
      </c>
      <c r="G122" s="233" t="n">
        <v>1.0673</v>
      </c>
      <c r="H122" s="234" t="n">
        <v>0.1041</v>
      </c>
      <c r="I122" s="51" t="n">
        <v>0</v>
      </c>
      <c r="J122" s="235" t="n">
        <v>0</v>
      </c>
      <c r="K122" s="235" t="n">
        <v>2900</v>
      </c>
    </row>
    <row r="123" customFormat="false" ht="15" hidden="false" customHeight="true" outlineLevel="0" collapsed="false">
      <c r="A123" s="54" t="s">
        <v>1004</v>
      </c>
      <c r="B123" s="56" t="s">
        <v>875</v>
      </c>
      <c r="C123" s="63" t="s">
        <v>189</v>
      </c>
      <c r="D123" s="54" t="n">
        <v>52</v>
      </c>
      <c r="E123" s="60" t="n">
        <v>14</v>
      </c>
      <c r="F123" s="228" t="n">
        <v>0.0761089143630488</v>
      </c>
      <c r="G123" s="229" t="n">
        <v>0.9926</v>
      </c>
      <c r="H123" s="230" t="n">
        <v>0.0755</v>
      </c>
      <c r="I123" s="63" t="n">
        <v>0</v>
      </c>
      <c r="J123" s="231" t="n">
        <v>0</v>
      </c>
      <c r="K123" s="231" t="n">
        <v>2200</v>
      </c>
    </row>
    <row r="124" customFormat="false" ht="15" hidden="false" customHeight="true" outlineLevel="0" collapsed="false">
      <c r="A124" s="35" t="s">
        <v>1005</v>
      </c>
      <c r="B124" s="37" t="s">
        <v>865</v>
      </c>
      <c r="C124" s="41" t="s">
        <v>837</v>
      </c>
      <c r="D124" s="35" t="n">
        <v>23</v>
      </c>
      <c r="E124" s="44" t="n">
        <v>17</v>
      </c>
      <c r="F124" s="236" t="n">
        <v>0.0879108410248413</v>
      </c>
      <c r="G124" s="237" t="n">
        <v>1.2103</v>
      </c>
      <c r="H124" s="238" t="n">
        <v>0.1064</v>
      </c>
      <c r="I124" s="44" t="n">
        <v>1</v>
      </c>
      <c r="J124" s="239" t="n">
        <v>18400</v>
      </c>
      <c r="K124" s="239" t="n">
        <v>3000</v>
      </c>
    </row>
    <row r="125" customFormat="false" ht="15" hidden="false" customHeight="true" outlineLevel="0" collapsed="false">
      <c r="A125" s="54" t="s">
        <v>1006</v>
      </c>
      <c r="B125" s="56" t="s">
        <v>400</v>
      </c>
      <c r="C125" s="60" t="s">
        <v>837</v>
      </c>
      <c r="D125" s="54" t="n">
        <v>49</v>
      </c>
      <c r="E125" s="63" t="n">
        <v>7</v>
      </c>
      <c r="F125" s="228" t="n">
        <v>0.0925657300187237</v>
      </c>
      <c r="G125" s="229" t="n">
        <v>1.014</v>
      </c>
      <c r="H125" s="230" t="n">
        <v>0.0939</v>
      </c>
      <c r="I125" s="63" t="n">
        <v>0</v>
      </c>
      <c r="J125" s="231" t="n">
        <v>0</v>
      </c>
      <c r="K125" s="231" t="n">
        <v>2700</v>
      </c>
    </row>
    <row r="126" customFormat="false" ht="15" hidden="false" customHeight="true" outlineLevel="0" collapsed="false">
      <c r="A126" s="45" t="s">
        <v>1007</v>
      </c>
      <c r="B126" s="47" t="s">
        <v>290</v>
      </c>
      <c r="C126" s="64" t="s">
        <v>837</v>
      </c>
      <c r="D126" s="45" t="n">
        <v>38</v>
      </c>
      <c r="E126" s="64" t="n">
        <v>15</v>
      </c>
      <c r="F126" s="232" t="n">
        <v>0.084639657614654</v>
      </c>
      <c r="G126" s="233" t="n">
        <v>1.0673</v>
      </c>
      <c r="H126" s="234" t="n">
        <v>0.0903</v>
      </c>
      <c r="I126" s="51" t="n">
        <v>0</v>
      </c>
      <c r="J126" s="235" t="n">
        <v>0</v>
      </c>
      <c r="K126" s="235" t="n">
        <v>2600</v>
      </c>
    </row>
    <row r="127" customFormat="false" ht="15" hidden="false" customHeight="true" outlineLevel="0" collapsed="false">
      <c r="A127" s="54" t="s">
        <v>1008</v>
      </c>
      <c r="B127" s="56" t="s">
        <v>870</v>
      </c>
      <c r="C127" s="60" t="s">
        <v>837</v>
      </c>
      <c r="D127" s="54" t="n">
        <v>28</v>
      </c>
      <c r="E127" s="60" t="n">
        <v>16</v>
      </c>
      <c r="F127" s="228" t="n">
        <v>0.092927124423227</v>
      </c>
      <c r="G127" s="229" t="n">
        <v>1.0673</v>
      </c>
      <c r="H127" s="230" t="n">
        <v>0.0992</v>
      </c>
      <c r="I127" s="63" t="n">
        <v>0</v>
      </c>
      <c r="J127" s="231" t="n">
        <v>0</v>
      </c>
      <c r="K127" s="231" t="n">
        <v>2800</v>
      </c>
    </row>
    <row r="128" customFormat="false" ht="15" hidden="false" customHeight="true" outlineLevel="0" collapsed="false">
      <c r="A128" s="35" t="s">
        <v>1009</v>
      </c>
      <c r="B128" s="37" t="s">
        <v>400</v>
      </c>
      <c r="C128" s="41" t="s">
        <v>837</v>
      </c>
      <c r="D128" s="35" t="n">
        <v>42</v>
      </c>
      <c r="E128" s="67" t="n">
        <v>7</v>
      </c>
      <c r="F128" s="236" t="n">
        <v>0.0823337880354171</v>
      </c>
      <c r="G128" s="237" t="n">
        <v>1.014</v>
      </c>
      <c r="H128" s="238" t="n">
        <v>0.0835</v>
      </c>
      <c r="I128" s="44" t="n">
        <v>1</v>
      </c>
      <c r="J128" s="239" t="n">
        <v>18900</v>
      </c>
      <c r="K128" s="239" t="n">
        <v>2400</v>
      </c>
    </row>
    <row r="129" customFormat="false" ht="15" hidden="false" customHeight="true" outlineLevel="0" collapsed="false">
      <c r="A129" s="54" t="s">
        <v>1010</v>
      </c>
      <c r="B129" s="56" t="s">
        <v>400</v>
      </c>
      <c r="C129" s="60" t="s">
        <v>837</v>
      </c>
      <c r="D129" s="54" t="n">
        <v>39</v>
      </c>
      <c r="E129" s="69" t="n">
        <v>18</v>
      </c>
      <c r="F129" s="228" t="n">
        <v>0.0904715047034339</v>
      </c>
      <c r="G129" s="229" t="n">
        <v>1.1207</v>
      </c>
      <c r="H129" s="230" t="n">
        <v>0.1014</v>
      </c>
      <c r="I129" s="63" t="n">
        <v>0</v>
      </c>
      <c r="J129" s="231" t="n">
        <v>0</v>
      </c>
      <c r="K129" s="231" t="n">
        <v>2800</v>
      </c>
    </row>
    <row r="130" customFormat="false" ht="15" hidden="false" customHeight="true" outlineLevel="0" collapsed="false">
      <c r="A130" s="45" t="s">
        <v>1011</v>
      </c>
      <c r="B130" s="47" t="s">
        <v>496</v>
      </c>
      <c r="C130" s="64" t="s">
        <v>837</v>
      </c>
      <c r="D130" s="45" t="n">
        <v>31</v>
      </c>
      <c r="E130" s="70" t="n">
        <v>22</v>
      </c>
      <c r="F130" s="232" t="n">
        <v>0.094320941113335</v>
      </c>
      <c r="G130" s="233" t="n">
        <v>1.1207</v>
      </c>
      <c r="H130" s="234" t="n">
        <v>0.1057</v>
      </c>
      <c r="I130" s="51" t="n">
        <v>0</v>
      </c>
      <c r="J130" s="235" t="n">
        <v>0</v>
      </c>
      <c r="K130" s="235" t="n">
        <v>2900</v>
      </c>
    </row>
    <row r="131" customFormat="false" ht="15" hidden="false" customHeight="true" outlineLevel="0" collapsed="false">
      <c r="A131" s="54" t="s">
        <v>1012</v>
      </c>
      <c r="B131" s="56" t="s">
        <v>865</v>
      </c>
      <c r="C131" s="69" t="s">
        <v>841</v>
      </c>
      <c r="D131" s="54" t="n">
        <v>38</v>
      </c>
      <c r="E131" s="69" t="n">
        <v>21</v>
      </c>
      <c r="F131" s="228" t="n">
        <v>0.106418497175455</v>
      </c>
      <c r="G131" s="229" t="n">
        <v>1.1767</v>
      </c>
      <c r="H131" s="230" t="n">
        <v>0.1252</v>
      </c>
      <c r="I131" s="63" t="n">
        <v>0</v>
      </c>
      <c r="J131" s="231" t="n">
        <v>0</v>
      </c>
      <c r="K131" s="231" t="n">
        <v>3400</v>
      </c>
    </row>
    <row r="132" customFormat="false" ht="15" hidden="false" customHeight="true" outlineLevel="0" collapsed="false">
      <c r="A132" s="45" t="s">
        <v>1013</v>
      </c>
      <c r="B132" s="47" t="s">
        <v>865</v>
      </c>
      <c r="C132" s="64" t="s">
        <v>837</v>
      </c>
      <c r="D132" s="45" t="n">
        <v>34</v>
      </c>
      <c r="E132" s="64" t="n">
        <v>15</v>
      </c>
      <c r="F132" s="232" t="n">
        <v>0.089814630059367</v>
      </c>
      <c r="G132" s="233" t="n">
        <v>1.0673</v>
      </c>
      <c r="H132" s="234" t="n">
        <v>0.0959</v>
      </c>
      <c r="I132" s="51" t="n">
        <v>0</v>
      </c>
      <c r="J132" s="235" t="n">
        <v>0</v>
      </c>
      <c r="K132" s="235" t="n">
        <v>2700</v>
      </c>
    </row>
    <row r="133" customFormat="false" ht="15" hidden="false" customHeight="true" outlineLevel="0" collapsed="false">
      <c r="A133" s="54" t="s">
        <v>1014</v>
      </c>
      <c r="B133" s="56" t="s">
        <v>875</v>
      </c>
      <c r="C133" s="63" t="s">
        <v>189</v>
      </c>
      <c r="D133" s="54" t="n">
        <v>39</v>
      </c>
      <c r="E133" s="63" t="n">
        <v>7</v>
      </c>
      <c r="F133" s="228" t="n">
        <v>0.0782033898679429</v>
      </c>
      <c r="G133" s="229" t="n">
        <v>0.943</v>
      </c>
      <c r="H133" s="230" t="n">
        <v>0.0737</v>
      </c>
      <c r="I133" s="63" t="n">
        <v>0</v>
      </c>
      <c r="J133" s="231" t="n">
        <v>0</v>
      </c>
      <c r="K133" s="231" t="n">
        <v>2200</v>
      </c>
    </row>
    <row r="134" customFormat="false" ht="15" hidden="false" customHeight="true" outlineLevel="0" collapsed="false">
      <c r="A134" s="35" t="s">
        <v>1015</v>
      </c>
      <c r="B134" s="37" t="s">
        <v>290</v>
      </c>
      <c r="C134" s="41" t="s">
        <v>837</v>
      </c>
      <c r="D134" s="35" t="n">
        <v>44</v>
      </c>
      <c r="E134" s="41" t="n">
        <v>12</v>
      </c>
      <c r="F134" s="236" t="n">
        <v>0.0831581188804626</v>
      </c>
      <c r="G134" s="237" t="n">
        <v>1.0673</v>
      </c>
      <c r="H134" s="238" t="n">
        <v>0.0888</v>
      </c>
      <c r="I134" s="44" t="n">
        <v>1</v>
      </c>
      <c r="J134" s="239" t="n">
        <v>16200</v>
      </c>
      <c r="K134" s="239" t="n">
        <v>2600</v>
      </c>
    </row>
    <row r="135" customFormat="false" ht="15" hidden="false" customHeight="true" outlineLevel="0" collapsed="false">
      <c r="A135" s="54" t="s">
        <v>1016</v>
      </c>
      <c r="B135" s="56" t="s">
        <v>496</v>
      </c>
      <c r="C135" s="60" t="s">
        <v>837</v>
      </c>
      <c r="D135" s="54" t="n">
        <v>53</v>
      </c>
      <c r="E135" s="60" t="n">
        <v>14</v>
      </c>
      <c r="F135" s="228" t="n">
        <v>0.0953215915771862</v>
      </c>
      <c r="G135" s="229" t="n">
        <v>1.0673</v>
      </c>
      <c r="H135" s="230" t="n">
        <v>0.1017</v>
      </c>
      <c r="I135" s="63" t="n">
        <v>0</v>
      </c>
      <c r="J135" s="231" t="n">
        <v>0</v>
      </c>
      <c r="K135" s="231" t="n">
        <v>2900</v>
      </c>
    </row>
    <row r="136" customFormat="false" ht="15" hidden="false" customHeight="true" outlineLevel="0" collapsed="false">
      <c r="A136" s="45" t="s">
        <v>1017</v>
      </c>
      <c r="B136" s="47" t="s">
        <v>865</v>
      </c>
      <c r="C136" s="64" t="s">
        <v>837</v>
      </c>
      <c r="D136" s="45" t="n">
        <v>25</v>
      </c>
      <c r="E136" s="51" t="n">
        <v>5</v>
      </c>
      <c r="F136" s="232" t="n">
        <v>0.096158012142362</v>
      </c>
      <c r="G136" s="233" t="n">
        <v>1.0951</v>
      </c>
      <c r="H136" s="234" t="n">
        <v>0.1053</v>
      </c>
      <c r="I136" s="51" t="n">
        <v>0</v>
      </c>
      <c r="J136" s="235" t="n">
        <v>0</v>
      </c>
      <c r="K136" s="235" t="n">
        <v>2900</v>
      </c>
    </row>
    <row r="137" customFormat="false" ht="15" hidden="false" customHeight="true" outlineLevel="0" collapsed="false">
      <c r="A137" s="54" t="s">
        <v>1018</v>
      </c>
      <c r="B137" s="56" t="s">
        <v>865</v>
      </c>
      <c r="C137" s="60" t="s">
        <v>837</v>
      </c>
      <c r="D137" s="54" t="n">
        <v>59</v>
      </c>
      <c r="E137" s="60" t="n">
        <v>16</v>
      </c>
      <c r="F137" s="228" t="n">
        <v>0.0924601072545682</v>
      </c>
      <c r="G137" s="229" t="n">
        <v>1.0353</v>
      </c>
      <c r="H137" s="230" t="n">
        <v>0.0957</v>
      </c>
      <c r="I137" s="63" t="n">
        <v>0</v>
      </c>
      <c r="J137" s="231" t="n">
        <v>0</v>
      </c>
      <c r="K137" s="231" t="n">
        <v>2700</v>
      </c>
    </row>
    <row r="138" customFormat="false" ht="15" hidden="false" customHeight="true" outlineLevel="0" collapsed="false">
      <c r="A138" s="45" t="s">
        <v>1019</v>
      </c>
      <c r="B138" s="47" t="s">
        <v>496</v>
      </c>
      <c r="C138" s="64" t="s">
        <v>837</v>
      </c>
      <c r="D138" s="45" t="n">
        <v>21</v>
      </c>
      <c r="E138" s="64" t="n">
        <v>10</v>
      </c>
      <c r="F138" s="232" t="n">
        <v>0.089437388617833</v>
      </c>
      <c r="G138" s="233" t="n">
        <v>1.1527</v>
      </c>
      <c r="H138" s="234" t="n">
        <v>0.1031</v>
      </c>
      <c r="I138" s="51" t="n">
        <v>0</v>
      </c>
      <c r="J138" s="235" t="n">
        <v>0</v>
      </c>
      <c r="K138" s="235" t="n">
        <v>2900</v>
      </c>
    </row>
    <row r="139" customFormat="false" ht="15" hidden="false" customHeight="true" outlineLevel="0" collapsed="false">
      <c r="A139" s="35" t="s">
        <v>1020</v>
      </c>
      <c r="B139" s="37" t="s">
        <v>877</v>
      </c>
      <c r="C139" s="41" t="s">
        <v>837</v>
      </c>
      <c r="D139" s="35" t="n">
        <v>36</v>
      </c>
      <c r="E139" s="67" t="n">
        <v>8</v>
      </c>
      <c r="F139" s="236" t="n">
        <v>0.0974286058097925</v>
      </c>
      <c r="G139" s="237" t="n">
        <v>1.014</v>
      </c>
      <c r="H139" s="238" t="n">
        <v>0.0988</v>
      </c>
      <c r="I139" s="44" t="n">
        <v>1</v>
      </c>
      <c r="J139" s="239" t="n">
        <v>29600</v>
      </c>
      <c r="K139" s="239" t="n">
        <v>2800</v>
      </c>
    </row>
    <row r="140" customFormat="false" ht="15" hidden="false" customHeight="true" outlineLevel="0" collapsed="false">
      <c r="A140" s="45" t="s">
        <v>1021</v>
      </c>
      <c r="B140" s="47" t="s">
        <v>862</v>
      </c>
      <c r="C140" s="51" t="s">
        <v>189</v>
      </c>
      <c r="D140" s="45" t="n">
        <v>43</v>
      </c>
      <c r="E140" s="51" t="n">
        <v>7</v>
      </c>
      <c r="F140" s="232" t="n">
        <v>0.0819229513787028</v>
      </c>
      <c r="G140" s="233" t="n">
        <v>0.943</v>
      </c>
      <c r="H140" s="234" t="n">
        <v>0.0773</v>
      </c>
      <c r="I140" s="51" t="n">
        <v>0</v>
      </c>
      <c r="J140" s="235" t="n">
        <v>0</v>
      </c>
      <c r="K140" s="235" t="n">
        <v>2300</v>
      </c>
    </row>
    <row r="141" customFormat="false" ht="15" hidden="false" customHeight="true" outlineLevel="0" collapsed="false">
      <c r="A141" s="54" t="s">
        <v>1022</v>
      </c>
      <c r="B141" s="56" t="s">
        <v>862</v>
      </c>
      <c r="C141" s="63" t="s">
        <v>189</v>
      </c>
      <c r="D141" s="54" t="n">
        <v>40</v>
      </c>
      <c r="E141" s="60" t="n">
        <v>10</v>
      </c>
      <c r="F141" s="228" t="n">
        <v>0.0793537555571362</v>
      </c>
      <c r="G141" s="229" t="n">
        <v>0.9926</v>
      </c>
      <c r="H141" s="230" t="n">
        <v>0.0788</v>
      </c>
      <c r="I141" s="63" t="n">
        <v>0</v>
      </c>
      <c r="J141" s="231" t="n">
        <v>0</v>
      </c>
      <c r="K141" s="231" t="n">
        <v>2300</v>
      </c>
    </row>
    <row r="142" customFormat="false" ht="15" hidden="false" customHeight="true" outlineLevel="0" collapsed="false">
      <c r="A142" s="45" t="s">
        <v>1023</v>
      </c>
      <c r="B142" s="47" t="s">
        <v>862</v>
      </c>
      <c r="C142" s="51" t="s">
        <v>189</v>
      </c>
      <c r="D142" s="45" t="n">
        <v>31</v>
      </c>
      <c r="E142" s="51" t="n">
        <v>8</v>
      </c>
      <c r="F142" s="232" t="n">
        <v>0.076568088463065</v>
      </c>
      <c r="G142" s="233" t="n">
        <v>0.943</v>
      </c>
      <c r="H142" s="234" t="n">
        <v>0.0722</v>
      </c>
      <c r="I142" s="51" t="n">
        <v>0</v>
      </c>
      <c r="J142" s="235" t="n">
        <v>0</v>
      </c>
      <c r="K142" s="235" t="n">
        <v>2200</v>
      </c>
    </row>
    <row r="143" customFormat="false" ht="15" hidden="false" customHeight="true" outlineLevel="0" collapsed="false">
      <c r="A143" s="54" t="s">
        <v>1024</v>
      </c>
      <c r="B143" s="56" t="s">
        <v>862</v>
      </c>
      <c r="C143" s="63" t="s">
        <v>189</v>
      </c>
      <c r="D143" s="54" t="n">
        <v>35</v>
      </c>
      <c r="E143" s="63" t="n">
        <v>5</v>
      </c>
      <c r="F143" s="228" t="n">
        <v>0.0768910290071341</v>
      </c>
      <c r="G143" s="229" t="n">
        <v>0.943</v>
      </c>
      <c r="H143" s="230" t="n">
        <v>0.0725</v>
      </c>
      <c r="I143" s="63" t="n">
        <v>0</v>
      </c>
      <c r="J143" s="231" t="n">
        <v>0</v>
      </c>
      <c r="K143" s="231" t="n">
        <v>2200</v>
      </c>
    </row>
    <row r="144" customFormat="false" ht="15" hidden="false" customHeight="true" outlineLevel="0" collapsed="false">
      <c r="A144" s="45" t="s">
        <v>1025</v>
      </c>
      <c r="B144" s="47" t="s">
        <v>361</v>
      </c>
      <c r="C144" s="64" t="s">
        <v>837</v>
      </c>
      <c r="D144" s="45" t="n">
        <v>33</v>
      </c>
      <c r="E144" s="64" t="n">
        <v>9</v>
      </c>
      <c r="F144" s="232" t="n">
        <v>0.085579218675369</v>
      </c>
      <c r="G144" s="233" t="n">
        <v>1.0673</v>
      </c>
      <c r="H144" s="234" t="n">
        <v>0.0913</v>
      </c>
      <c r="I144" s="51" t="n">
        <v>0</v>
      </c>
      <c r="J144" s="235" t="n">
        <v>0</v>
      </c>
      <c r="K144" s="235" t="n">
        <v>2600</v>
      </c>
    </row>
    <row r="145" customFormat="false" ht="15" hidden="false" customHeight="true" outlineLevel="0" collapsed="false">
      <c r="A145" s="54" t="s">
        <v>1026</v>
      </c>
      <c r="B145" s="56" t="s">
        <v>862</v>
      </c>
      <c r="C145" s="63" t="s">
        <v>189</v>
      </c>
      <c r="D145" s="54" t="n">
        <v>32</v>
      </c>
      <c r="E145" s="69" t="n">
        <v>18</v>
      </c>
      <c r="F145" s="228" t="n">
        <v>0.0764903062763515</v>
      </c>
      <c r="G145" s="229" t="n">
        <v>1.0422</v>
      </c>
      <c r="H145" s="230" t="n">
        <v>0.0797</v>
      </c>
      <c r="I145" s="63" t="n">
        <v>0</v>
      </c>
      <c r="J145" s="231" t="n">
        <v>0</v>
      </c>
      <c r="K145" s="231" t="n">
        <v>2300</v>
      </c>
    </row>
    <row r="146" customFormat="false" ht="15" hidden="false" customHeight="true" outlineLevel="0" collapsed="false">
      <c r="A146" s="35" t="s">
        <v>1027</v>
      </c>
      <c r="B146" s="37" t="s">
        <v>877</v>
      </c>
      <c r="C146" s="41" t="s">
        <v>837</v>
      </c>
      <c r="D146" s="35" t="n">
        <v>46</v>
      </c>
      <c r="E146" s="41" t="n">
        <v>15</v>
      </c>
      <c r="F146" s="236" t="n">
        <v>0.0874251591601963</v>
      </c>
      <c r="G146" s="237" t="n">
        <v>1.0673</v>
      </c>
      <c r="H146" s="238" t="n">
        <v>0.0933</v>
      </c>
      <c r="I146" s="44" t="n">
        <v>1</v>
      </c>
      <c r="J146" s="239" t="n">
        <v>13900</v>
      </c>
      <c r="K146" s="239" t="n">
        <v>2700</v>
      </c>
    </row>
    <row r="147" customFormat="false" ht="15" hidden="false" customHeight="true" outlineLevel="0" collapsed="false">
      <c r="A147" s="54" t="s">
        <v>1028</v>
      </c>
      <c r="B147" s="56" t="s">
        <v>877</v>
      </c>
      <c r="C147" s="60" t="s">
        <v>837</v>
      </c>
      <c r="D147" s="54" t="n">
        <v>41</v>
      </c>
      <c r="E147" s="60" t="n">
        <v>10</v>
      </c>
      <c r="F147" s="228" t="n">
        <v>0.086463701219013</v>
      </c>
      <c r="G147" s="229" t="n">
        <v>1.0673</v>
      </c>
      <c r="H147" s="230" t="n">
        <v>0.0923</v>
      </c>
      <c r="I147" s="63" t="n">
        <v>0</v>
      </c>
      <c r="J147" s="231" t="n">
        <v>0</v>
      </c>
      <c r="K147" s="231" t="n">
        <v>2600</v>
      </c>
    </row>
    <row r="148" customFormat="false" ht="15" hidden="false" customHeight="true" outlineLevel="0" collapsed="false">
      <c r="A148" s="45" t="s">
        <v>1029</v>
      </c>
      <c r="B148" s="47" t="s">
        <v>862</v>
      </c>
      <c r="C148" s="51" t="s">
        <v>189</v>
      </c>
      <c r="D148" s="45" t="n">
        <v>31</v>
      </c>
      <c r="E148" s="70" t="n">
        <v>17</v>
      </c>
      <c r="F148" s="232" t="n">
        <v>0.0733785287554549</v>
      </c>
      <c r="G148" s="233" t="n">
        <v>1.0422</v>
      </c>
      <c r="H148" s="234" t="n">
        <v>0.0765</v>
      </c>
      <c r="I148" s="51" t="n">
        <v>0</v>
      </c>
      <c r="J148" s="235" t="n">
        <v>0</v>
      </c>
      <c r="K148" s="235" t="n">
        <v>2300</v>
      </c>
    </row>
    <row r="149" customFormat="false" ht="15" hidden="false" customHeight="true" outlineLevel="0" collapsed="false">
      <c r="A149" s="54" t="s">
        <v>1030</v>
      </c>
      <c r="B149" s="56" t="s">
        <v>865</v>
      </c>
      <c r="C149" s="69" t="s">
        <v>841</v>
      </c>
      <c r="D149" s="54" t="n">
        <v>46</v>
      </c>
      <c r="E149" s="60" t="n">
        <v>14</v>
      </c>
      <c r="F149" s="228" t="n">
        <v>0.0945460184345224</v>
      </c>
      <c r="G149" s="229" t="n">
        <v>1.1207</v>
      </c>
      <c r="H149" s="230" t="n">
        <v>0.106</v>
      </c>
      <c r="I149" s="63" t="n">
        <v>0</v>
      </c>
      <c r="J149" s="231" t="n">
        <v>0</v>
      </c>
      <c r="K149" s="231" t="n">
        <v>3000</v>
      </c>
    </row>
    <row r="150" customFormat="false" ht="15" hidden="false" customHeight="true" outlineLevel="0" collapsed="false">
      <c r="A150" s="45" t="s">
        <v>1031</v>
      </c>
      <c r="B150" s="47" t="s">
        <v>862</v>
      </c>
      <c r="C150" s="51" t="s">
        <v>189</v>
      </c>
      <c r="D150" s="45" t="n">
        <v>41</v>
      </c>
      <c r="E150" s="64" t="n">
        <v>11</v>
      </c>
      <c r="F150" s="232" t="n">
        <v>0.0778319018131207</v>
      </c>
      <c r="G150" s="233" t="n">
        <v>0.9926</v>
      </c>
      <c r="H150" s="234" t="n">
        <v>0.0773</v>
      </c>
      <c r="I150" s="51" t="n">
        <v>0</v>
      </c>
      <c r="J150" s="235" t="n">
        <v>0</v>
      </c>
      <c r="K150" s="235" t="n">
        <v>2300</v>
      </c>
    </row>
    <row r="151" customFormat="false" ht="15" hidden="false" customHeight="true" outlineLevel="0" collapsed="false">
      <c r="A151" s="54" t="s">
        <v>1032</v>
      </c>
      <c r="B151" s="56" t="s">
        <v>873</v>
      </c>
      <c r="C151" s="63" t="s">
        <v>189</v>
      </c>
      <c r="D151" s="54" t="n">
        <v>46</v>
      </c>
      <c r="E151" s="60" t="n">
        <v>12</v>
      </c>
      <c r="F151" s="228" t="n">
        <v>0.08127853381161</v>
      </c>
      <c r="G151" s="229" t="n">
        <v>0.9926</v>
      </c>
      <c r="H151" s="230" t="n">
        <v>0.0807</v>
      </c>
      <c r="I151" s="63" t="n">
        <v>0</v>
      </c>
      <c r="J151" s="231" t="n">
        <v>0</v>
      </c>
      <c r="K151" s="231" t="n">
        <v>2400</v>
      </c>
    </row>
    <row r="152" customFormat="false" ht="15" hidden="false" customHeight="true" outlineLevel="0" collapsed="false">
      <c r="A152" s="45" t="s">
        <v>1033</v>
      </c>
      <c r="B152" s="47" t="s">
        <v>400</v>
      </c>
      <c r="C152" s="64" t="s">
        <v>837</v>
      </c>
      <c r="D152" s="45" t="n">
        <v>44</v>
      </c>
      <c r="E152" s="64" t="n">
        <v>11</v>
      </c>
      <c r="F152" s="232" t="n">
        <v>0.0966492667347853</v>
      </c>
      <c r="G152" s="233" t="n">
        <v>1.0673</v>
      </c>
      <c r="H152" s="234" t="n">
        <v>0.1032</v>
      </c>
      <c r="I152" s="51" t="n">
        <v>0</v>
      </c>
      <c r="J152" s="235" t="n">
        <v>0</v>
      </c>
      <c r="K152" s="235" t="n">
        <v>2900</v>
      </c>
    </row>
    <row r="153" customFormat="false" ht="15" hidden="false" customHeight="true" outlineLevel="0" collapsed="false">
      <c r="A153" s="54" t="s">
        <v>1034</v>
      </c>
      <c r="B153" s="56" t="s">
        <v>873</v>
      </c>
      <c r="C153" s="63" t="s">
        <v>189</v>
      </c>
      <c r="D153" s="54" t="n">
        <v>29</v>
      </c>
      <c r="E153" s="60" t="n">
        <v>9</v>
      </c>
      <c r="F153" s="228" t="n">
        <v>0.0721275576550361</v>
      </c>
      <c r="G153" s="229" t="n">
        <v>0.9926</v>
      </c>
      <c r="H153" s="230" t="n">
        <v>0.0716</v>
      </c>
      <c r="I153" s="63" t="n">
        <v>0</v>
      </c>
      <c r="J153" s="231" t="n">
        <v>0</v>
      </c>
      <c r="K153" s="231" t="n">
        <v>2200</v>
      </c>
    </row>
    <row r="154" customFormat="false" ht="15" hidden="false" customHeight="true" outlineLevel="0" collapsed="false">
      <c r="A154" s="45" t="s">
        <v>1035</v>
      </c>
      <c r="B154" s="47" t="s">
        <v>865</v>
      </c>
      <c r="C154" s="70" t="s">
        <v>841</v>
      </c>
      <c r="D154" s="45" t="n">
        <v>32</v>
      </c>
      <c r="E154" s="64" t="n">
        <v>16</v>
      </c>
      <c r="F154" s="232" t="n">
        <v>0.10071883679026</v>
      </c>
      <c r="G154" s="233" t="n">
        <v>1.1207</v>
      </c>
      <c r="H154" s="234" t="n">
        <v>0.1129</v>
      </c>
      <c r="I154" s="51" t="n">
        <v>0</v>
      </c>
      <c r="J154" s="235" t="n">
        <v>0</v>
      </c>
      <c r="K154" s="235" t="n">
        <v>3100</v>
      </c>
    </row>
    <row r="155" customFormat="false" ht="15" hidden="false" customHeight="true" outlineLevel="0" collapsed="false">
      <c r="A155" s="54" t="s">
        <v>1036</v>
      </c>
      <c r="B155" s="56" t="s">
        <v>862</v>
      </c>
      <c r="C155" s="63" t="s">
        <v>189</v>
      </c>
      <c r="D155" s="54" t="n">
        <v>45</v>
      </c>
      <c r="E155" s="60" t="n">
        <v>15</v>
      </c>
      <c r="F155" s="228" t="n">
        <v>0.0720292408107116</v>
      </c>
      <c r="G155" s="229" t="n">
        <v>0.9926</v>
      </c>
      <c r="H155" s="230" t="n">
        <v>0.0715</v>
      </c>
      <c r="I155" s="63" t="n">
        <v>0</v>
      </c>
      <c r="J155" s="231" t="n">
        <v>0</v>
      </c>
      <c r="K155" s="231" t="n">
        <v>2200</v>
      </c>
    </row>
    <row r="156" customFormat="false" ht="15" hidden="false" customHeight="true" outlineLevel="0" collapsed="false">
      <c r="A156" s="45" t="s">
        <v>1037</v>
      </c>
      <c r="B156" s="47" t="s">
        <v>875</v>
      </c>
      <c r="C156" s="51" t="s">
        <v>189</v>
      </c>
      <c r="D156" s="45" t="n">
        <v>44</v>
      </c>
      <c r="E156" s="64" t="n">
        <v>14</v>
      </c>
      <c r="F156" s="232" t="n">
        <v>0.0740789803870312</v>
      </c>
      <c r="G156" s="233" t="n">
        <v>0.9926</v>
      </c>
      <c r="H156" s="234" t="n">
        <v>0.0735</v>
      </c>
      <c r="I156" s="51" t="n">
        <v>0</v>
      </c>
      <c r="J156" s="235" t="n">
        <v>0</v>
      </c>
      <c r="K156" s="235" t="n">
        <v>2200</v>
      </c>
    </row>
    <row r="157" customFormat="false" ht="15" hidden="false" customHeight="true" outlineLevel="0" collapsed="false">
      <c r="A157" s="54" t="s">
        <v>1038</v>
      </c>
      <c r="B157" s="56" t="s">
        <v>865</v>
      </c>
      <c r="C157" s="69" t="s">
        <v>841</v>
      </c>
      <c r="D157" s="54" t="n">
        <v>37</v>
      </c>
      <c r="E157" s="69" t="n">
        <v>20</v>
      </c>
      <c r="F157" s="228" t="n">
        <v>0.107223701217755</v>
      </c>
      <c r="G157" s="229" t="n">
        <v>1.1767</v>
      </c>
      <c r="H157" s="230" t="n">
        <v>0.1262</v>
      </c>
      <c r="I157" s="63" t="n">
        <v>0</v>
      </c>
      <c r="J157" s="231" t="n">
        <v>0</v>
      </c>
      <c r="K157" s="231" t="n">
        <v>3400</v>
      </c>
    </row>
    <row r="158" customFormat="false" ht="15" hidden="false" customHeight="true" outlineLevel="0" collapsed="false">
      <c r="A158" s="45" t="s">
        <v>1039</v>
      </c>
      <c r="B158" s="47" t="s">
        <v>865</v>
      </c>
      <c r="C158" s="64" t="s">
        <v>837</v>
      </c>
      <c r="D158" s="45" t="n">
        <v>39</v>
      </c>
      <c r="E158" s="64" t="n">
        <v>13</v>
      </c>
      <c r="F158" s="232" t="n">
        <v>0.0838605327671618</v>
      </c>
      <c r="G158" s="233" t="n">
        <v>1.0673</v>
      </c>
      <c r="H158" s="234" t="n">
        <v>0.0895</v>
      </c>
      <c r="I158" s="51" t="n">
        <v>0</v>
      </c>
      <c r="J158" s="235" t="n">
        <v>0</v>
      </c>
      <c r="K158" s="235" t="n">
        <v>2600</v>
      </c>
    </row>
    <row r="159" customFormat="false" ht="15" hidden="false" customHeight="true" outlineLevel="0" collapsed="false">
      <c r="A159" s="54" t="s">
        <v>1040</v>
      </c>
      <c r="B159" s="56" t="s">
        <v>877</v>
      </c>
      <c r="C159" s="60" t="s">
        <v>837</v>
      </c>
      <c r="D159" s="54" t="n">
        <v>50</v>
      </c>
      <c r="E159" s="69" t="n">
        <v>21</v>
      </c>
      <c r="F159" s="228" t="n">
        <v>0.09026113607002</v>
      </c>
      <c r="G159" s="229" t="n">
        <v>1.1207</v>
      </c>
      <c r="H159" s="230" t="n">
        <v>0.1012</v>
      </c>
      <c r="I159" s="63" t="n">
        <v>0</v>
      </c>
      <c r="J159" s="231" t="n">
        <v>0</v>
      </c>
      <c r="K159" s="231" t="n">
        <v>2800</v>
      </c>
    </row>
    <row r="160" customFormat="false" ht="15" hidden="false" customHeight="true" outlineLevel="0" collapsed="false">
      <c r="A160" s="45" t="s">
        <v>1041</v>
      </c>
      <c r="B160" s="47" t="s">
        <v>400</v>
      </c>
      <c r="C160" s="64" t="s">
        <v>837</v>
      </c>
      <c r="D160" s="45" t="n">
        <v>32</v>
      </c>
      <c r="E160" s="51" t="n">
        <v>7</v>
      </c>
      <c r="F160" s="232" t="n">
        <v>0.0936154125475253</v>
      </c>
      <c r="G160" s="233" t="n">
        <v>1.014</v>
      </c>
      <c r="H160" s="234" t="n">
        <v>0.0949</v>
      </c>
      <c r="I160" s="51" t="n">
        <v>0</v>
      </c>
      <c r="J160" s="235" t="n">
        <v>0</v>
      </c>
      <c r="K160" s="235" t="n">
        <v>2700</v>
      </c>
    </row>
    <row r="161" customFormat="false" ht="15" hidden="false" customHeight="true" outlineLevel="0" collapsed="false">
      <c r="A161" s="54" t="s">
        <v>1042</v>
      </c>
      <c r="B161" s="56" t="s">
        <v>496</v>
      </c>
      <c r="C161" s="60" t="s">
        <v>837</v>
      </c>
      <c r="D161" s="54" t="n">
        <v>43</v>
      </c>
      <c r="E161" s="69" t="n">
        <v>17</v>
      </c>
      <c r="F161" s="228" t="n">
        <v>0.0834966096865975</v>
      </c>
      <c r="G161" s="229" t="n">
        <v>1.1207</v>
      </c>
      <c r="H161" s="230" t="n">
        <v>0.0936</v>
      </c>
      <c r="I161" s="63" t="n">
        <v>0</v>
      </c>
      <c r="J161" s="231" t="n">
        <v>0</v>
      </c>
      <c r="K161" s="231" t="n">
        <v>2700</v>
      </c>
    </row>
    <row r="162" customFormat="false" ht="15" hidden="false" customHeight="true" outlineLevel="0" collapsed="false">
      <c r="A162" s="45" t="s">
        <v>1043</v>
      </c>
      <c r="B162" s="47" t="s">
        <v>400</v>
      </c>
      <c r="C162" s="64" t="s">
        <v>837</v>
      </c>
      <c r="D162" s="45" t="n">
        <v>35</v>
      </c>
      <c r="E162" s="64" t="n">
        <v>9</v>
      </c>
      <c r="F162" s="232" t="n">
        <v>0.0867354346948379</v>
      </c>
      <c r="G162" s="233" t="n">
        <v>1.0673</v>
      </c>
      <c r="H162" s="234" t="n">
        <v>0.0926</v>
      </c>
      <c r="I162" s="51" t="n">
        <v>0</v>
      </c>
      <c r="J162" s="235" t="n">
        <v>0</v>
      </c>
      <c r="K162" s="235" t="n">
        <v>2600</v>
      </c>
    </row>
    <row r="163" customFormat="false" ht="15" hidden="false" customHeight="true" outlineLevel="0" collapsed="false">
      <c r="A163" s="54" t="s">
        <v>1044</v>
      </c>
      <c r="B163" s="56" t="s">
        <v>361</v>
      </c>
      <c r="C163" s="60" t="s">
        <v>837</v>
      </c>
      <c r="D163" s="54" t="n">
        <v>35</v>
      </c>
      <c r="E163" s="69" t="n">
        <v>17</v>
      </c>
      <c r="F163" s="228" t="n">
        <v>0.0960145121264308</v>
      </c>
      <c r="G163" s="229" t="n">
        <v>1.1207</v>
      </c>
      <c r="H163" s="230" t="n">
        <v>0.1076</v>
      </c>
      <c r="I163" s="63" t="n">
        <v>0</v>
      </c>
      <c r="J163" s="231" t="n">
        <v>0</v>
      </c>
      <c r="K163" s="231" t="n">
        <v>3000</v>
      </c>
    </row>
    <row r="164" customFormat="false" ht="15" hidden="false" customHeight="true" outlineLevel="0" collapsed="false">
      <c r="A164" s="45" t="s">
        <v>1045</v>
      </c>
      <c r="B164" s="47" t="s">
        <v>361</v>
      </c>
      <c r="C164" s="64" t="s">
        <v>837</v>
      </c>
      <c r="D164" s="45" t="n">
        <v>48</v>
      </c>
      <c r="E164" s="64" t="n">
        <v>13</v>
      </c>
      <c r="F164" s="232" t="n">
        <v>0.0866722245327663</v>
      </c>
      <c r="G164" s="233" t="n">
        <v>1.0673</v>
      </c>
      <c r="H164" s="234" t="n">
        <v>0.0925</v>
      </c>
      <c r="I164" s="51" t="n">
        <v>0</v>
      </c>
      <c r="J164" s="235" t="n">
        <v>0</v>
      </c>
      <c r="K164" s="235" t="n">
        <v>2600</v>
      </c>
    </row>
    <row r="165" customFormat="false" ht="15" hidden="false" customHeight="true" outlineLevel="0" collapsed="false">
      <c r="A165" s="54" t="s">
        <v>1046</v>
      </c>
      <c r="B165" s="56" t="s">
        <v>865</v>
      </c>
      <c r="C165" s="60" t="s">
        <v>837</v>
      </c>
      <c r="D165" s="54" t="n">
        <v>46</v>
      </c>
      <c r="E165" s="63" t="n">
        <v>8</v>
      </c>
      <c r="F165" s="228" t="n">
        <v>0.0851082110264387</v>
      </c>
      <c r="G165" s="229" t="n">
        <v>1.014</v>
      </c>
      <c r="H165" s="230" t="n">
        <v>0.0863</v>
      </c>
      <c r="I165" s="63" t="n">
        <v>0</v>
      </c>
      <c r="J165" s="231" t="n">
        <v>0</v>
      </c>
      <c r="K165" s="231" t="n">
        <v>2500</v>
      </c>
    </row>
    <row r="166" customFormat="false" ht="15" hidden="false" customHeight="true" outlineLevel="0" collapsed="false">
      <c r="A166" s="45" t="s">
        <v>1047</v>
      </c>
      <c r="B166" s="47" t="s">
        <v>400</v>
      </c>
      <c r="C166" s="64" t="s">
        <v>837</v>
      </c>
      <c r="D166" s="45" t="n">
        <v>46</v>
      </c>
      <c r="E166" s="70" t="n">
        <v>18</v>
      </c>
      <c r="F166" s="232" t="n">
        <v>0.0844147347414381</v>
      </c>
      <c r="G166" s="233" t="n">
        <v>1.1207</v>
      </c>
      <c r="H166" s="234" t="n">
        <v>0.0946</v>
      </c>
      <c r="I166" s="51" t="n">
        <v>0</v>
      </c>
      <c r="J166" s="235" t="n">
        <v>0</v>
      </c>
      <c r="K166" s="235" t="n">
        <v>2700</v>
      </c>
    </row>
    <row r="167" customFormat="false" ht="15" hidden="false" customHeight="true" outlineLevel="0" collapsed="false">
      <c r="A167" s="54" t="s">
        <v>1048</v>
      </c>
      <c r="B167" s="56" t="s">
        <v>873</v>
      </c>
      <c r="C167" s="63" t="s">
        <v>189</v>
      </c>
      <c r="D167" s="54" t="n">
        <v>51</v>
      </c>
      <c r="E167" s="69" t="n">
        <v>19</v>
      </c>
      <c r="F167" s="228" t="n">
        <v>0.0781661543642501</v>
      </c>
      <c r="G167" s="229" t="n">
        <v>1.0422</v>
      </c>
      <c r="H167" s="230" t="n">
        <v>0.0815</v>
      </c>
      <c r="I167" s="63" t="n">
        <v>0</v>
      </c>
      <c r="J167" s="231" t="n">
        <v>0</v>
      </c>
      <c r="K167" s="231" t="n">
        <v>2400</v>
      </c>
    </row>
    <row r="168" customFormat="false" ht="15" hidden="false" customHeight="true" outlineLevel="0" collapsed="false">
      <c r="A168" s="45" t="s">
        <v>1049</v>
      </c>
      <c r="B168" s="47" t="s">
        <v>862</v>
      </c>
      <c r="C168" s="51" t="s">
        <v>189</v>
      </c>
      <c r="D168" s="45" t="n">
        <v>38</v>
      </c>
      <c r="E168" s="64" t="n">
        <v>10</v>
      </c>
      <c r="F168" s="232" t="n">
        <v>0.0881519380936108</v>
      </c>
      <c r="G168" s="233" t="n">
        <v>0.9926</v>
      </c>
      <c r="H168" s="234" t="n">
        <v>0.0875</v>
      </c>
      <c r="I168" s="51" t="n">
        <v>0</v>
      </c>
      <c r="J168" s="235" t="n">
        <v>0</v>
      </c>
      <c r="K168" s="235" t="n">
        <v>2500</v>
      </c>
    </row>
    <row r="169" customFormat="false" ht="15" hidden="false" customHeight="true" outlineLevel="0" collapsed="false">
      <c r="A169" s="54" t="s">
        <v>1050</v>
      </c>
      <c r="B169" s="56" t="s">
        <v>496</v>
      </c>
      <c r="C169" s="60" t="s">
        <v>837</v>
      </c>
      <c r="D169" s="54" t="n">
        <v>44</v>
      </c>
      <c r="E169" s="63" t="n">
        <v>6</v>
      </c>
      <c r="F169" s="228" t="n">
        <v>0.0863004157894738</v>
      </c>
      <c r="G169" s="229" t="n">
        <v>1.014</v>
      </c>
      <c r="H169" s="230" t="n">
        <v>0.0875</v>
      </c>
      <c r="I169" s="63" t="n">
        <v>0</v>
      </c>
      <c r="J169" s="231" t="n">
        <v>0</v>
      </c>
      <c r="K169" s="231" t="n">
        <v>2500</v>
      </c>
    </row>
    <row r="170" customFormat="false" ht="15" hidden="false" customHeight="true" outlineLevel="0" collapsed="false">
      <c r="A170" s="45" t="s">
        <v>1051</v>
      </c>
      <c r="B170" s="47" t="s">
        <v>865</v>
      </c>
      <c r="C170" s="64" t="s">
        <v>837</v>
      </c>
      <c r="D170" s="45" t="n">
        <v>34</v>
      </c>
      <c r="E170" s="64" t="n">
        <v>12</v>
      </c>
      <c r="F170" s="232" t="n">
        <v>0.101368000083527</v>
      </c>
      <c r="G170" s="233" t="n">
        <v>1.0673</v>
      </c>
      <c r="H170" s="234" t="n">
        <v>0.1082</v>
      </c>
      <c r="I170" s="51" t="n">
        <v>0</v>
      </c>
      <c r="J170" s="235" t="n">
        <v>0</v>
      </c>
      <c r="K170" s="235" t="n">
        <v>3000</v>
      </c>
    </row>
    <row r="171" customFormat="false" ht="15" hidden="false" customHeight="true" outlineLevel="0" collapsed="false">
      <c r="A171" s="54" t="s">
        <v>1052</v>
      </c>
      <c r="B171" s="56" t="s">
        <v>862</v>
      </c>
      <c r="C171" s="63" t="s">
        <v>189</v>
      </c>
      <c r="D171" s="54" t="n">
        <v>41</v>
      </c>
      <c r="E171" s="60" t="n">
        <v>14</v>
      </c>
      <c r="F171" s="228" t="n">
        <v>0.0772033358544245</v>
      </c>
      <c r="G171" s="229" t="n">
        <v>0.9926</v>
      </c>
      <c r="H171" s="230" t="n">
        <v>0.0766</v>
      </c>
      <c r="I171" s="63" t="n">
        <v>0</v>
      </c>
      <c r="J171" s="231" t="n">
        <v>0</v>
      </c>
      <c r="K171" s="231" t="n">
        <v>2300</v>
      </c>
    </row>
    <row r="172" customFormat="false" ht="15" hidden="false" customHeight="true" outlineLevel="0" collapsed="false">
      <c r="A172" s="45" t="s">
        <v>1053</v>
      </c>
      <c r="B172" s="47" t="s">
        <v>862</v>
      </c>
      <c r="C172" s="51" t="s">
        <v>189</v>
      </c>
      <c r="D172" s="45" t="n">
        <v>36</v>
      </c>
      <c r="E172" s="70" t="n">
        <v>17</v>
      </c>
      <c r="F172" s="232" t="n">
        <v>0.0890920260924401</v>
      </c>
      <c r="G172" s="233" t="n">
        <v>1.0422</v>
      </c>
      <c r="H172" s="234" t="n">
        <v>0.0929</v>
      </c>
      <c r="I172" s="51" t="n">
        <v>0</v>
      </c>
      <c r="J172" s="235" t="n">
        <v>0</v>
      </c>
      <c r="K172" s="235" t="n">
        <v>2600</v>
      </c>
    </row>
    <row r="173" customFormat="false" ht="15" hidden="false" customHeight="true" outlineLevel="0" collapsed="false">
      <c r="A173" s="54" t="s">
        <v>1054</v>
      </c>
      <c r="B173" s="56" t="s">
        <v>870</v>
      </c>
      <c r="C173" s="60" t="s">
        <v>837</v>
      </c>
      <c r="D173" s="54" t="n">
        <v>38</v>
      </c>
      <c r="E173" s="63" t="n">
        <v>8</v>
      </c>
      <c r="F173" s="228" t="n">
        <v>0.0912408649775248</v>
      </c>
      <c r="G173" s="229" t="n">
        <v>1.014</v>
      </c>
      <c r="H173" s="230" t="n">
        <v>0.0925</v>
      </c>
      <c r="I173" s="63" t="n">
        <v>0</v>
      </c>
      <c r="J173" s="231" t="n">
        <v>0</v>
      </c>
      <c r="K173" s="231" t="n">
        <v>2600</v>
      </c>
    </row>
    <row r="174" customFormat="false" ht="15" hidden="false" customHeight="true" outlineLevel="0" collapsed="false">
      <c r="A174" s="45" t="s">
        <v>1055</v>
      </c>
      <c r="B174" s="47" t="s">
        <v>865</v>
      </c>
      <c r="C174" s="64" t="s">
        <v>837</v>
      </c>
      <c r="D174" s="45" t="n">
        <v>43</v>
      </c>
      <c r="E174" s="51" t="n">
        <v>5</v>
      </c>
      <c r="F174" s="232" t="n">
        <v>0.0832333836898763</v>
      </c>
      <c r="G174" s="233" t="n">
        <v>1.014</v>
      </c>
      <c r="H174" s="234" t="n">
        <v>0.0844</v>
      </c>
      <c r="I174" s="51" t="n">
        <v>0</v>
      </c>
      <c r="J174" s="235" t="n">
        <v>0</v>
      </c>
      <c r="K174" s="235" t="n">
        <v>2500</v>
      </c>
    </row>
    <row r="175" customFormat="false" ht="15" hidden="false" customHeight="true" outlineLevel="0" collapsed="false">
      <c r="A175" s="54" t="s">
        <v>1056</v>
      </c>
      <c r="B175" s="56" t="s">
        <v>865</v>
      </c>
      <c r="C175" s="69" t="s">
        <v>841</v>
      </c>
      <c r="D175" s="54" t="n">
        <v>29</v>
      </c>
      <c r="E175" s="60" t="n">
        <v>11</v>
      </c>
      <c r="F175" s="228" t="n">
        <v>0.104473468303767</v>
      </c>
      <c r="G175" s="229" t="n">
        <v>1.1207</v>
      </c>
      <c r="H175" s="230" t="n">
        <v>0.1171</v>
      </c>
      <c r="I175" s="63" t="n">
        <v>0</v>
      </c>
      <c r="J175" s="231" t="n">
        <v>0</v>
      </c>
      <c r="K175" s="231" t="n">
        <v>3200</v>
      </c>
    </row>
    <row r="176" customFormat="false" ht="15" hidden="false" customHeight="true" outlineLevel="0" collapsed="false">
      <c r="A176" s="45" t="s">
        <v>1057</v>
      </c>
      <c r="B176" s="47" t="s">
        <v>496</v>
      </c>
      <c r="C176" s="64" t="s">
        <v>837</v>
      </c>
      <c r="D176" s="45" t="n">
        <v>58</v>
      </c>
      <c r="E176" s="51" t="n">
        <v>7</v>
      </c>
      <c r="F176" s="232" t="n">
        <v>0.0936464760282813</v>
      </c>
      <c r="G176" s="233" t="n">
        <v>0.9835</v>
      </c>
      <c r="H176" s="234" t="n">
        <v>0.0921</v>
      </c>
      <c r="I176" s="51" t="n">
        <v>0</v>
      </c>
      <c r="J176" s="235" t="n">
        <v>0</v>
      </c>
      <c r="K176" s="235" t="n">
        <v>2600</v>
      </c>
    </row>
    <row r="177" customFormat="false" ht="15" hidden="false" customHeight="true" outlineLevel="0" collapsed="false">
      <c r="A177" s="54" t="s">
        <v>1058</v>
      </c>
      <c r="B177" s="56" t="s">
        <v>875</v>
      </c>
      <c r="C177" s="63" t="s">
        <v>189</v>
      </c>
      <c r="D177" s="54" t="n">
        <v>27</v>
      </c>
      <c r="E177" s="63" t="n">
        <v>5</v>
      </c>
      <c r="F177" s="228" t="n">
        <v>0.0919432285226095</v>
      </c>
      <c r="G177" s="229" t="n">
        <v>1.0184</v>
      </c>
      <c r="H177" s="230" t="n">
        <v>0.0936</v>
      </c>
      <c r="I177" s="63" t="n">
        <v>0</v>
      </c>
      <c r="J177" s="231" t="n">
        <v>0</v>
      </c>
      <c r="K177" s="231" t="n">
        <v>2700</v>
      </c>
    </row>
    <row r="178" customFormat="false" ht="15" hidden="false" customHeight="true" outlineLevel="0" collapsed="false">
      <c r="A178" s="45" t="s">
        <v>1059</v>
      </c>
      <c r="B178" s="47" t="s">
        <v>496</v>
      </c>
      <c r="C178" s="64" t="s">
        <v>837</v>
      </c>
      <c r="D178" s="45" t="n">
        <v>25</v>
      </c>
      <c r="E178" s="64" t="n">
        <v>9</v>
      </c>
      <c r="F178" s="232" t="n">
        <v>0.0838395727731404</v>
      </c>
      <c r="G178" s="233" t="n">
        <v>1.1527</v>
      </c>
      <c r="H178" s="234" t="n">
        <v>0.0966</v>
      </c>
      <c r="I178" s="51" t="n">
        <v>0</v>
      </c>
      <c r="J178" s="235" t="n">
        <v>0</v>
      </c>
      <c r="K178" s="235" t="n">
        <v>2700</v>
      </c>
    </row>
    <row r="179" customFormat="false" ht="15" hidden="false" customHeight="true" outlineLevel="0" collapsed="false">
      <c r="A179" s="54" t="s">
        <v>1060</v>
      </c>
      <c r="B179" s="56" t="s">
        <v>875</v>
      </c>
      <c r="C179" s="63" t="s">
        <v>189</v>
      </c>
      <c r="D179" s="54" t="n">
        <v>49</v>
      </c>
      <c r="E179" s="63" t="n">
        <v>8</v>
      </c>
      <c r="F179" s="228" t="n">
        <v>0.0728539263818086</v>
      </c>
      <c r="G179" s="229" t="n">
        <v>0.943</v>
      </c>
      <c r="H179" s="230" t="n">
        <v>0.0687</v>
      </c>
      <c r="I179" s="63" t="n">
        <v>0</v>
      </c>
      <c r="J179" s="231" t="n">
        <v>0</v>
      </c>
      <c r="K179" s="231" t="n">
        <v>2100</v>
      </c>
    </row>
    <row r="180" customFormat="false" ht="15" hidden="false" customHeight="true" outlineLevel="0" collapsed="false">
      <c r="A180" s="45" t="s">
        <v>1061</v>
      </c>
      <c r="B180" s="47" t="s">
        <v>865</v>
      </c>
      <c r="C180" s="64" t="s">
        <v>837</v>
      </c>
      <c r="D180" s="45" t="n">
        <v>45</v>
      </c>
      <c r="E180" s="70" t="n">
        <v>18</v>
      </c>
      <c r="F180" s="232" t="n">
        <v>0.0984337080306457</v>
      </c>
      <c r="G180" s="233" t="n">
        <v>1.1207</v>
      </c>
      <c r="H180" s="234" t="n">
        <v>0.1103</v>
      </c>
      <c r="I180" s="51" t="n">
        <v>0</v>
      </c>
      <c r="J180" s="235" t="n">
        <v>0</v>
      </c>
      <c r="K180" s="235" t="n">
        <v>3100</v>
      </c>
    </row>
    <row r="181" customFormat="false" ht="15" hidden="false" customHeight="true" outlineLevel="0" collapsed="false">
      <c r="A181" s="54" t="s">
        <v>1062</v>
      </c>
      <c r="B181" s="56" t="s">
        <v>862</v>
      </c>
      <c r="C181" s="63" t="s">
        <v>189</v>
      </c>
      <c r="D181" s="54" t="n">
        <v>44</v>
      </c>
      <c r="E181" s="69" t="n">
        <v>18</v>
      </c>
      <c r="F181" s="228" t="n">
        <v>0.0754561442366158</v>
      </c>
      <c r="G181" s="229" t="n">
        <v>1.0422</v>
      </c>
      <c r="H181" s="230" t="n">
        <v>0.0786</v>
      </c>
      <c r="I181" s="63" t="n">
        <v>0</v>
      </c>
      <c r="J181" s="231" t="n">
        <v>0</v>
      </c>
      <c r="K181" s="231" t="n">
        <v>2300</v>
      </c>
    </row>
    <row r="182" customFormat="false" ht="15" hidden="false" customHeight="true" outlineLevel="0" collapsed="false">
      <c r="A182" s="45" t="s">
        <v>1063</v>
      </c>
      <c r="B182" s="47" t="s">
        <v>865</v>
      </c>
      <c r="C182" s="64" t="s">
        <v>837</v>
      </c>
      <c r="D182" s="45" t="n">
        <v>44</v>
      </c>
      <c r="E182" s="64" t="n">
        <v>13</v>
      </c>
      <c r="F182" s="232" t="n">
        <v>0.0909202286129331</v>
      </c>
      <c r="G182" s="233" t="n">
        <v>1.0673</v>
      </c>
      <c r="H182" s="234" t="n">
        <v>0.097</v>
      </c>
      <c r="I182" s="51" t="n">
        <v>0</v>
      </c>
      <c r="J182" s="235" t="n">
        <v>0</v>
      </c>
      <c r="K182" s="235" t="n">
        <v>2700</v>
      </c>
    </row>
    <row r="183" customFormat="false" ht="15" hidden="false" customHeight="true" outlineLevel="0" collapsed="false">
      <c r="A183" s="54" t="s">
        <v>1064</v>
      </c>
      <c r="B183" s="56" t="s">
        <v>496</v>
      </c>
      <c r="C183" s="60" t="s">
        <v>837</v>
      </c>
      <c r="D183" s="54" t="n">
        <v>37</v>
      </c>
      <c r="E183" s="60" t="n">
        <v>12</v>
      </c>
      <c r="F183" s="228" t="n">
        <v>0.0949455680094816</v>
      </c>
      <c r="G183" s="229" t="n">
        <v>1.0673</v>
      </c>
      <c r="H183" s="230" t="n">
        <v>0.1013</v>
      </c>
      <c r="I183" s="63" t="n">
        <v>0</v>
      </c>
      <c r="J183" s="231" t="n">
        <v>0</v>
      </c>
      <c r="K183" s="231" t="n">
        <v>2800</v>
      </c>
    </row>
    <row r="184" customFormat="false" ht="15" hidden="false" customHeight="true" outlineLevel="0" collapsed="false">
      <c r="A184" s="45" t="s">
        <v>1065</v>
      </c>
      <c r="B184" s="47" t="s">
        <v>877</v>
      </c>
      <c r="C184" s="64" t="s">
        <v>837</v>
      </c>
      <c r="D184" s="45" t="n">
        <v>29</v>
      </c>
      <c r="E184" s="70" t="n">
        <v>20</v>
      </c>
      <c r="F184" s="232" t="n">
        <v>0.0832195813786569</v>
      </c>
      <c r="G184" s="233" t="n">
        <v>1.1207</v>
      </c>
      <c r="H184" s="234" t="n">
        <v>0.0933</v>
      </c>
      <c r="I184" s="51" t="n">
        <v>0</v>
      </c>
      <c r="J184" s="235" t="n">
        <v>0</v>
      </c>
      <c r="K184" s="235" t="n">
        <v>2700</v>
      </c>
    </row>
    <row r="185" customFormat="false" ht="15" hidden="false" customHeight="true" outlineLevel="0" collapsed="false">
      <c r="A185" s="54" t="s">
        <v>1066</v>
      </c>
      <c r="B185" s="56" t="s">
        <v>865</v>
      </c>
      <c r="C185" s="60" t="s">
        <v>837</v>
      </c>
      <c r="D185" s="54" t="n">
        <v>38</v>
      </c>
      <c r="E185" s="60" t="n">
        <v>11</v>
      </c>
      <c r="F185" s="228" t="n">
        <v>0.0948530505127687</v>
      </c>
      <c r="G185" s="229" t="n">
        <v>1.0673</v>
      </c>
      <c r="H185" s="230" t="n">
        <v>0.1012</v>
      </c>
      <c r="I185" s="63" t="n">
        <v>0</v>
      </c>
      <c r="J185" s="231" t="n">
        <v>0</v>
      </c>
      <c r="K185" s="231" t="n">
        <v>2800</v>
      </c>
    </row>
    <row r="186" customFormat="false" ht="15" hidden="false" customHeight="true" outlineLevel="0" collapsed="false">
      <c r="A186" s="45" t="s">
        <v>1067</v>
      </c>
      <c r="B186" s="47" t="s">
        <v>865</v>
      </c>
      <c r="C186" s="70" t="s">
        <v>841</v>
      </c>
      <c r="D186" s="45" t="n">
        <v>31</v>
      </c>
      <c r="E186" s="70" t="n">
        <v>22</v>
      </c>
      <c r="F186" s="232" t="n">
        <v>0.103896924886037</v>
      </c>
      <c r="G186" s="233" t="n">
        <v>1.1767</v>
      </c>
      <c r="H186" s="234" t="n">
        <v>0.1223</v>
      </c>
      <c r="I186" s="51" t="n">
        <v>0</v>
      </c>
      <c r="J186" s="235" t="n">
        <v>0</v>
      </c>
      <c r="K186" s="235" t="n">
        <v>3300</v>
      </c>
    </row>
    <row r="187" customFormat="false" ht="15" hidden="false" customHeight="true" outlineLevel="0" collapsed="false">
      <c r="A187" s="54" t="s">
        <v>1068</v>
      </c>
      <c r="B187" s="56" t="s">
        <v>873</v>
      </c>
      <c r="C187" s="63" t="s">
        <v>189</v>
      </c>
      <c r="D187" s="54" t="n">
        <v>47</v>
      </c>
      <c r="E187" s="60" t="n">
        <v>16</v>
      </c>
      <c r="F187" s="228" t="n">
        <v>0.0815936887777623</v>
      </c>
      <c r="G187" s="229" t="n">
        <v>0.9926</v>
      </c>
      <c r="H187" s="230" t="n">
        <v>0.081</v>
      </c>
      <c r="I187" s="63" t="n">
        <v>0</v>
      </c>
      <c r="J187" s="231" t="n">
        <v>0</v>
      </c>
      <c r="K187" s="231" t="n">
        <v>2400</v>
      </c>
    </row>
    <row r="188" customFormat="false" ht="15" hidden="false" customHeight="true" outlineLevel="0" collapsed="false">
      <c r="A188" s="45" t="s">
        <v>1069</v>
      </c>
      <c r="B188" s="47" t="s">
        <v>361</v>
      </c>
      <c r="C188" s="64" t="s">
        <v>837</v>
      </c>
      <c r="D188" s="45" t="n">
        <v>36</v>
      </c>
      <c r="E188" s="70" t="n">
        <v>21</v>
      </c>
      <c r="F188" s="232" t="n">
        <v>0.0884320883733602</v>
      </c>
      <c r="G188" s="233" t="n">
        <v>1.1207</v>
      </c>
      <c r="H188" s="234" t="n">
        <v>0.0991</v>
      </c>
      <c r="I188" s="51" t="n">
        <v>0</v>
      </c>
      <c r="J188" s="235" t="n">
        <v>0</v>
      </c>
      <c r="K188" s="235" t="n">
        <v>2800</v>
      </c>
    </row>
    <row r="189" customFormat="false" ht="15" hidden="false" customHeight="true" outlineLevel="0" collapsed="false">
      <c r="A189" s="54" t="s">
        <v>1070</v>
      </c>
      <c r="B189" s="56" t="s">
        <v>862</v>
      </c>
      <c r="C189" s="63" t="s">
        <v>189</v>
      </c>
      <c r="D189" s="54" t="n">
        <v>29</v>
      </c>
      <c r="E189" s="60" t="n">
        <v>12</v>
      </c>
      <c r="F189" s="228" t="n">
        <v>0.0725860692107327</v>
      </c>
      <c r="G189" s="229" t="n">
        <v>0.9926</v>
      </c>
      <c r="H189" s="230" t="n">
        <v>0.072</v>
      </c>
      <c r="I189" s="63" t="n">
        <v>0</v>
      </c>
      <c r="J189" s="231" t="n">
        <v>0</v>
      </c>
      <c r="K189" s="231" t="n">
        <v>2200</v>
      </c>
    </row>
    <row r="190" customFormat="false" ht="15" hidden="false" customHeight="true" outlineLevel="0" collapsed="false">
      <c r="A190" s="45" t="s">
        <v>1071</v>
      </c>
      <c r="B190" s="47" t="s">
        <v>865</v>
      </c>
      <c r="C190" s="70" t="s">
        <v>841</v>
      </c>
      <c r="D190" s="45" t="n">
        <v>34</v>
      </c>
      <c r="E190" s="70" t="n">
        <v>20</v>
      </c>
      <c r="F190" s="232" t="n">
        <v>0.0985886458393086</v>
      </c>
      <c r="G190" s="233" t="n">
        <v>1.1767</v>
      </c>
      <c r="H190" s="234" t="n">
        <v>0.116</v>
      </c>
      <c r="I190" s="51" t="n">
        <v>0</v>
      </c>
      <c r="J190" s="235" t="n">
        <v>0</v>
      </c>
      <c r="K190" s="235" t="n">
        <v>3200</v>
      </c>
    </row>
    <row r="191" customFormat="false" ht="15" hidden="false" customHeight="true" outlineLevel="0" collapsed="false">
      <c r="A191" s="54" t="s">
        <v>1072</v>
      </c>
      <c r="B191" s="56" t="s">
        <v>290</v>
      </c>
      <c r="C191" s="60" t="s">
        <v>837</v>
      </c>
      <c r="D191" s="54" t="n">
        <v>42</v>
      </c>
      <c r="E191" s="60" t="n">
        <v>10</v>
      </c>
      <c r="F191" s="228" t="n">
        <v>0.0840026867460992</v>
      </c>
      <c r="G191" s="229" t="n">
        <v>1.0673</v>
      </c>
      <c r="H191" s="230" t="n">
        <v>0.0897</v>
      </c>
      <c r="I191" s="63" t="n">
        <v>0</v>
      </c>
      <c r="J191" s="231" t="n">
        <v>0</v>
      </c>
      <c r="K191" s="231" t="n">
        <v>2600</v>
      </c>
    </row>
    <row r="192" customFormat="false" ht="15" hidden="false" customHeight="true" outlineLevel="0" collapsed="false">
      <c r="A192" s="45" t="s">
        <v>1073</v>
      </c>
      <c r="B192" s="47" t="s">
        <v>865</v>
      </c>
      <c r="C192" s="70" t="s">
        <v>841</v>
      </c>
      <c r="D192" s="45" t="n">
        <v>32</v>
      </c>
      <c r="E192" s="51" t="n">
        <v>6</v>
      </c>
      <c r="F192" s="232" t="n">
        <v>0.10328099447435</v>
      </c>
      <c r="G192" s="233" t="n">
        <v>1.0647</v>
      </c>
      <c r="H192" s="234" t="n">
        <v>0.11</v>
      </c>
      <c r="I192" s="51" t="n">
        <v>0</v>
      </c>
      <c r="J192" s="235" t="n">
        <v>0</v>
      </c>
      <c r="K192" s="235" t="n">
        <v>3000</v>
      </c>
    </row>
    <row r="193" customFormat="false" ht="15" hidden="false" customHeight="true" outlineLevel="0" collapsed="false">
      <c r="A193" s="54" t="s">
        <v>1074</v>
      </c>
      <c r="B193" s="56" t="s">
        <v>870</v>
      </c>
      <c r="C193" s="60" t="s">
        <v>837</v>
      </c>
      <c r="D193" s="54" t="n">
        <v>29</v>
      </c>
      <c r="E193" s="69" t="n">
        <v>17</v>
      </c>
      <c r="F193" s="228" t="n">
        <v>0.0890960926913032</v>
      </c>
      <c r="G193" s="229" t="n">
        <v>1.1207</v>
      </c>
      <c r="H193" s="230" t="n">
        <v>0.0998</v>
      </c>
      <c r="I193" s="63" t="n">
        <v>0</v>
      </c>
      <c r="J193" s="231" t="n">
        <v>0</v>
      </c>
      <c r="K193" s="231" t="n">
        <v>2800</v>
      </c>
    </row>
    <row r="194" customFormat="false" ht="15" hidden="false" customHeight="true" outlineLevel="0" collapsed="false">
      <c r="A194" s="45" t="s">
        <v>1075</v>
      </c>
      <c r="B194" s="47" t="s">
        <v>875</v>
      </c>
      <c r="C194" s="51" t="s">
        <v>189</v>
      </c>
      <c r="D194" s="45" t="n">
        <v>40</v>
      </c>
      <c r="E194" s="64" t="n">
        <v>10</v>
      </c>
      <c r="F194" s="232" t="n">
        <v>0.0767310226548492</v>
      </c>
      <c r="G194" s="233" t="n">
        <v>0.9926</v>
      </c>
      <c r="H194" s="234" t="n">
        <v>0.0762</v>
      </c>
      <c r="I194" s="51" t="n">
        <v>0</v>
      </c>
      <c r="J194" s="235" t="n">
        <v>0</v>
      </c>
      <c r="K194" s="235" t="n">
        <v>2300</v>
      </c>
    </row>
    <row r="195" customFormat="false" ht="15" hidden="false" customHeight="true" outlineLevel="0" collapsed="false">
      <c r="A195" s="35" t="s">
        <v>1076</v>
      </c>
      <c r="B195" s="37" t="s">
        <v>873</v>
      </c>
      <c r="C195" s="67" t="s">
        <v>189</v>
      </c>
      <c r="D195" s="35" t="n">
        <v>40</v>
      </c>
      <c r="E195" s="41" t="n">
        <v>16</v>
      </c>
      <c r="F195" s="236" t="n">
        <v>0.0902796000825707</v>
      </c>
      <c r="G195" s="237" t="n">
        <v>0.9926</v>
      </c>
      <c r="H195" s="238" t="n">
        <v>0.0896</v>
      </c>
      <c r="I195" s="44" t="n">
        <v>1</v>
      </c>
      <c r="J195" s="239" t="n">
        <v>21800</v>
      </c>
      <c r="K195" s="239" t="n">
        <v>2600</v>
      </c>
    </row>
    <row r="196" customFormat="false" ht="15" hidden="false" customHeight="true" outlineLevel="0" collapsed="false">
      <c r="A196" s="45" t="s">
        <v>1077</v>
      </c>
      <c r="B196" s="47" t="s">
        <v>865</v>
      </c>
      <c r="C196" s="64" t="s">
        <v>837</v>
      </c>
      <c r="D196" s="45" t="n">
        <v>32</v>
      </c>
      <c r="E196" s="70" t="n">
        <v>20</v>
      </c>
      <c r="F196" s="232" t="n">
        <v>0.0928424920304199</v>
      </c>
      <c r="G196" s="233" t="n">
        <v>1.1207</v>
      </c>
      <c r="H196" s="234" t="n">
        <v>0.104</v>
      </c>
      <c r="I196" s="51" t="n">
        <v>0</v>
      </c>
      <c r="J196" s="235" t="n">
        <v>0</v>
      </c>
      <c r="K196" s="235" t="n">
        <v>2900</v>
      </c>
    </row>
    <row r="197" customFormat="false" ht="15" hidden="false" customHeight="true" outlineLevel="0" collapsed="false">
      <c r="A197" s="54" t="s">
        <v>1078</v>
      </c>
      <c r="B197" s="56" t="s">
        <v>862</v>
      </c>
      <c r="C197" s="63" t="s">
        <v>189</v>
      </c>
      <c r="D197" s="54" t="n">
        <v>33</v>
      </c>
      <c r="E197" s="63" t="n">
        <v>6</v>
      </c>
      <c r="F197" s="228" t="n">
        <v>0.0766524671616648</v>
      </c>
      <c r="G197" s="229" t="n">
        <v>0.943</v>
      </c>
      <c r="H197" s="230" t="n">
        <v>0.0723</v>
      </c>
      <c r="I197" s="63" t="n">
        <v>0</v>
      </c>
      <c r="J197" s="231" t="n">
        <v>0</v>
      </c>
      <c r="K197" s="231" t="n">
        <v>2200</v>
      </c>
    </row>
    <row r="198" customFormat="false" ht="15" hidden="false" customHeight="true" outlineLevel="0" collapsed="false">
      <c r="A198" s="45" t="s">
        <v>1079</v>
      </c>
      <c r="B198" s="47" t="s">
        <v>870</v>
      </c>
      <c r="C198" s="64" t="s">
        <v>837</v>
      </c>
      <c r="D198" s="45" t="n">
        <v>40</v>
      </c>
      <c r="E198" s="51" t="n">
        <v>5</v>
      </c>
      <c r="F198" s="232" t="n">
        <v>0.0886346798714841</v>
      </c>
      <c r="G198" s="233" t="n">
        <v>1.014</v>
      </c>
      <c r="H198" s="234" t="n">
        <v>0.0899</v>
      </c>
      <c r="I198" s="51" t="n">
        <v>0</v>
      </c>
      <c r="J198" s="235" t="n">
        <v>0</v>
      </c>
      <c r="K198" s="235" t="n">
        <v>2600</v>
      </c>
    </row>
    <row r="199" customFormat="false" ht="15" hidden="false" customHeight="true" outlineLevel="0" collapsed="false">
      <c r="A199" s="54" t="s">
        <v>1080</v>
      </c>
      <c r="B199" s="56" t="s">
        <v>875</v>
      </c>
      <c r="C199" s="63" t="s">
        <v>189</v>
      </c>
      <c r="D199" s="54" t="n">
        <v>23</v>
      </c>
      <c r="E199" s="60" t="n">
        <v>15</v>
      </c>
      <c r="F199" s="228" t="n">
        <v>0.0863387526538163</v>
      </c>
      <c r="G199" s="229" t="n">
        <v>1.072</v>
      </c>
      <c r="H199" s="230" t="n">
        <v>0.0926</v>
      </c>
      <c r="I199" s="63" t="n">
        <v>0</v>
      </c>
      <c r="J199" s="231" t="n">
        <v>0</v>
      </c>
      <c r="K199" s="231" t="n">
        <v>2600</v>
      </c>
    </row>
    <row r="200" customFormat="false" ht="15" hidden="false" customHeight="true" outlineLevel="0" collapsed="false">
      <c r="A200" s="45" t="s">
        <v>1081</v>
      </c>
      <c r="B200" s="47" t="s">
        <v>875</v>
      </c>
      <c r="C200" s="51" t="s">
        <v>189</v>
      </c>
      <c r="D200" s="45" t="n">
        <v>23</v>
      </c>
      <c r="E200" s="64" t="n">
        <v>15</v>
      </c>
      <c r="F200" s="232" t="n">
        <v>0.0731911192569007</v>
      </c>
      <c r="G200" s="233" t="n">
        <v>1.072</v>
      </c>
      <c r="H200" s="234" t="n">
        <v>0.0785</v>
      </c>
      <c r="I200" s="51" t="n">
        <v>0</v>
      </c>
      <c r="J200" s="235" t="n">
        <v>0</v>
      </c>
      <c r="K200" s="235" t="n">
        <v>2300</v>
      </c>
    </row>
    <row r="201" customFormat="false" ht="15" hidden="false" customHeight="true" outlineLevel="0" collapsed="false">
      <c r="A201" s="54" t="s">
        <v>1082</v>
      </c>
      <c r="B201" s="56" t="s">
        <v>496</v>
      </c>
      <c r="C201" s="60" t="s">
        <v>837</v>
      </c>
      <c r="D201" s="54" t="n">
        <v>30</v>
      </c>
      <c r="E201" s="60" t="n">
        <v>9</v>
      </c>
      <c r="F201" s="228" t="n">
        <v>0.0974873299763978</v>
      </c>
      <c r="G201" s="229" t="n">
        <v>1.0673</v>
      </c>
      <c r="H201" s="230" t="n">
        <v>0.104</v>
      </c>
      <c r="I201" s="63" t="n">
        <v>0</v>
      </c>
      <c r="J201" s="231" t="n">
        <v>0</v>
      </c>
      <c r="K201" s="231" t="n">
        <v>2900</v>
      </c>
    </row>
    <row r="202" customFormat="false" ht="15" hidden="false" customHeight="true" outlineLevel="0" collapsed="false">
      <c r="A202" s="45" t="s">
        <v>1083</v>
      </c>
      <c r="B202" s="47" t="s">
        <v>877</v>
      </c>
      <c r="C202" s="64" t="s">
        <v>837</v>
      </c>
      <c r="D202" s="45" t="n">
        <v>35</v>
      </c>
      <c r="E202" s="51" t="n">
        <v>7</v>
      </c>
      <c r="F202" s="232" t="n">
        <v>0.0894718156016675</v>
      </c>
      <c r="G202" s="233" t="n">
        <v>1.014</v>
      </c>
      <c r="H202" s="234" t="n">
        <v>0.0907</v>
      </c>
      <c r="I202" s="51" t="n">
        <v>0</v>
      </c>
      <c r="J202" s="235" t="n">
        <v>0</v>
      </c>
      <c r="K202" s="235" t="n">
        <v>2600</v>
      </c>
    </row>
    <row r="203" customFormat="false" ht="15" hidden="false" customHeight="true" outlineLevel="0" collapsed="false">
      <c r="A203" s="54" t="s">
        <v>1084</v>
      </c>
      <c r="B203" s="56" t="s">
        <v>361</v>
      </c>
      <c r="C203" s="60" t="s">
        <v>837</v>
      </c>
      <c r="D203" s="54" t="n">
        <v>41</v>
      </c>
      <c r="E203" s="63" t="n">
        <v>8</v>
      </c>
      <c r="F203" s="228" t="n">
        <v>0.0887312214228161</v>
      </c>
      <c r="G203" s="229" t="n">
        <v>1.014</v>
      </c>
      <c r="H203" s="230" t="n">
        <v>0.09</v>
      </c>
      <c r="I203" s="63" t="n">
        <v>0</v>
      </c>
      <c r="J203" s="231" t="n">
        <v>0</v>
      </c>
      <c r="K203" s="231" t="n">
        <v>2600</v>
      </c>
    </row>
    <row r="204" customFormat="false" ht="15" hidden="false" customHeight="true" outlineLevel="0" collapsed="false">
      <c r="A204" s="45" t="s">
        <v>1085</v>
      </c>
      <c r="B204" s="47" t="s">
        <v>290</v>
      </c>
      <c r="C204" s="64" t="s">
        <v>837</v>
      </c>
      <c r="D204" s="45" t="n">
        <v>52</v>
      </c>
      <c r="E204" s="70" t="n">
        <v>18</v>
      </c>
      <c r="F204" s="232" t="n">
        <v>0.0978368504999974</v>
      </c>
      <c r="G204" s="233" t="n">
        <v>1.1207</v>
      </c>
      <c r="H204" s="234" t="n">
        <v>0.1096</v>
      </c>
      <c r="I204" s="51" t="n">
        <v>0</v>
      </c>
      <c r="J204" s="235" t="n">
        <v>0</v>
      </c>
      <c r="K204" s="235" t="n">
        <v>3000</v>
      </c>
    </row>
    <row r="205" customFormat="false" ht="15" hidden="false" customHeight="true" outlineLevel="0" collapsed="false">
      <c r="A205" s="18" t="s">
        <v>1086</v>
      </c>
      <c r="B205" s="18"/>
      <c r="C205" s="18"/>
      <c r="D205" s="18"/>
      <c r="E205" s="18"/>
      <c r="F205" s="18"/>
      <c r="G205" s="18"/>
      <c r="H205" s="18"/>
      <c r="I205" s="18"/>
      <c r="J205" s="18"/>
      <c r="K205" s="18"/>
    </row>
    <row r="206" customFormat="false" ht="18" hidden="false" customHeight="true" outlineLevel="0" collapsed="false">
      <c r="A206" s="223"/>
      <c r="B206" s="223"/>
      <c r="C206" s="223"/>
      <c r="D206" s="224" t="n">
        <f aca="false">AVERAGE(D5:D204)</f>
        <v>38.235</v>
      </c>
      <c r="E206" s="223"/>
      <c r="F206" s="227" t="n">
        <f aca="false">AVERAGE(F5:F204)</f>
        <v>0.0883671451764649</v>
      </c>
      <c r="G206" s="240" t="n">
        <f aca="false">AVERAGE(G5:G204)</f>
        <v>1.0613625</v>
      </c>
      <c r="H206" s="227" t="n">
        <f aca="false">AVERAGE(H5:H204)</f>
        <v>0.0940925</v>
      </c>
      <c r="I206" s="225" t="n">
        <f aca="false">SUM(I5:I204)</f>
        <v>12</v>
      </c>
      <c r="J206" s="226" t="n">
        <f aca="false">AVERAGEIF(I5:I204,1,J5:J204)</f>
        <v>25591.6666666667</v>
      </c>
      <c r="K206" s="226" t="n">
        <f aca="false">AVERAGE(K5:K204)</f>
        <v>2677</v>
      </c>
    </row>
  </sheetData>
  <mergeCells count="4">
    <mergeCell ref="A1:K1"/>
    <mergeCell ref="A2:K2"/>
    <mergeCell ref="A3:K3"/>
    <mergeCell ref="A205:K2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45"/>
  </cols>
  <sheetData>
    <row r="1" customFormat="false" ht="25.5" hidden="false" customHeight="true" outlineLevel="0" collapsed="false">
      <c r="A1" s="2" t="s">
        <v>1087</v>
      </c>
      <c r="B1" s="2"/>
      <c r="C1" s="2"/>
      <c r="D1" s="2"/>
      <c r="E1" s="2"/>
      <c r="F1" s="2"/>
      <c r="G1" s="2"/>
    </row>
    <row r="2" customFormat="false" ht="13.5" hidden="false" customHeight="true" outlineLevel="0" collapsed="false">
      <c r="A2" s="3" t="s">
        <v>1088</v>
      </c>
      <c r="B2" s="3"/>
      <c r="C2" s="3"/>
      <c r="D2" s="3"/>
      <c r="E2" s="3"/>
      <c r="F2" s="3"/>
      <c r="G2" s="3"/>
    </row>
    <row r="3" customFormat="false" ht="30" hidden="false" customHeight="true" outlineLevel="0" collapsed="false">
      <c r="A3" s="34" t="s">
        <v>1089</v>
      </c>
      <c r="B3" s="34"/>
      <c r="C3" s="34"/>
      <c r="D3" s="34"/>
      <c r="E3" s="34"/>
      <c r="F3" s="34"/>
      <c r="G3" s="34"/>
    </row>
    <row r="4" customFormat="false" ht="19.5" hidden="false" customHeight="true" outlineLevel="0" collapsed="false">
      <c r="A4" s="21" t="s">
        <v>1090</v>
      </c>
      <c r="B4" s="21" t="s">
        <v>1091</v>
      </c>
      <c r="C4" s="21" t="s">
        <v>1092</v>
      </c>
      <c r="D4" s="21" t="s">
        <v>261</v>
      </c>
      <c r="E4" s="21" t="s">
        <v>1093</v>
      </c>
      <c r="F4" s="21" t="s">
        <v>1094</v>
      </c>
      <c r="G4" s="21" t="s">
        <v>1095</v>
      </c>
    </row>
    <row r="5" customFormat="false" ht="54.75" hidden="false" customHeight="true" outlineLevel="0" collapsed="false">
      <c r="A5" s="241" t="s">
        <v>1096</v>
      </c>
      <c r="B5" s="242" t="s">
        <v>1097</v>
      </c>
      <c r="C5" s="243" t="n">
        <v>1</v>
      </c>
      <c r="D5" s="242" t="s">
        <v>10</v>
      </c>
      <c r="E5" s="244" t="s">
        <v>1097</v>
      </c>
      <c r="F5" s="242" t="s">
        <v>10</v>
      </c>
      <c r="G5" s="196" t="s">
        <v>1098</v>
      </c>
    </row>
    <row r="6" customFormat="false" ht="54.75" hidden="false" customHeight="true" outlineLevel="0" collapsed="false">
      <c r="A6" s="245" t="s">
        <v>1099</v>
      </c>
      <c r="B6" s="246" t="s">
        <v>1097</v>
      </c>
      <c r="C6" s="247" t="n">
        <v>1.07</v>
      </c>
      <c r="D6" s="248" t="s">
        <v>1100</v>
      </c>
      <c r="E6" s="249" t="s">
        <v>1101</v>
      </c>
      <c r="F6" s="246" t="s">
        <v>1102</v>
      </c>
      <c r="G6" s="186" t="s">
        <v>1103</v>
      </c>
    </row>
    <row r="7" customFormat="false" ht="54.75" hidden="false" customHeight="true" outlineLevel="0" collapsed="false">
      <c r="A7" s="245" t="s">
        <v>1104</v>
      </c>
      <c r="B7" s="246" t="s">
        <v>1101</v>
      </c>
      <c r="C7" s="247" t="n">
        <v>0.95</v>
      </c>
      <c r="D7" s="250" t="s">
        <v>1105</v>
      </c>
      <c r="E7" s="249" t="s">
        <v>1106</v>
      </c>
      <c r="F7" s="246" t="s">
        <v>1107</v>
      </c>
      <c r="G7" s="186" t="s">
        <v>1108</v>
      </c>
    </row>
    <row r="8" customFormat="false" ht="54.75" hidden="false" customHeight="true" outlineLevel="0" collapsed="false">
      <c r="A8" s="245" t="s">
        <v>1109</v>
      </c>
      <c r="B8" s="246" t="s">
        <v>1106</v>
      </c>
      <c r="C8" s="247" t="n">
        <v>1.07</v>
      </c>
      <c r="D8" s="248" t="s">
        <v>1100</v>
      </c>
      <c r="E8" s="249" t="s">
        <v>1110</v>
      </c>
      <c r="F8" s="246" t="s">
        <v>1102</v>
      </c>
      <c r="G8" s="186" t="s">
        <v>1111</v>
      </c>
    </row>
    <row r="9" customFormat="false" ht="54.75" hidden="false" customHeight="true" outlineLevel="0" collapsed="false">
      <c r="A9" s="245" t="s">
        <v>1112</v>
      </c>
      <c r="B9" s="246" t="s">
        <v>1110</v>
      </c>
      <c r="C9" s="247" t="n">
        <v>0.93</v>
      </c>
      <c r="D9" s="250" t="s">
        <v>1105</v>
      </c>
      <c r="E9" s="249" t="s">
        <v>1113</v>
      </c>
      <c r="F9" s="246" t="s">
        <v>1114</v>
      </c>
      <c r="G9" s="186" t="s">
        <v>1115</v>
      </c>
    </row>
    <row r="10" customFormat="false" ht="54.75" hidden="false" customHeight="true" outlineLevel="0" collapsed="false">
      <c r="A10" s="251" t="s">
        <v>1116</v>
      </c>
      <c r="B10" s="252" t="s">
        <v>1113</v>
      </c>
      <c r="C10" s="253" t="n">
        <v>1.05</v>
      </c>
      <c r="D10" s="254" t="s">
        <v>1100</v>
      </c>
      <c r="E10" s="255" t="s">
        <v>1117</v>
      </c>
      <c r="F10" s="252" t="s">
        <v>1118</v>
      </c>
      <c r="G10" s="181" t="s">
        <v>1119</v>
      </c>
    </row>
    <row r="12" customFormat="false" ht="15" hidden="false" customHeight="true" outlineLevel="0" collapsed="false">
      <c r="A12" s="18" t="s">
        <v>1120</v>
      </c>
      <c r="B12" s="18"/>
      <c r="C12" s="18"/>
      <c r="D12" s="18"/>
      <c r="E12" s="18"/>
      <c r="F12" s="18"/>
      <c r="G12" s="18"/>
    </row>
    <row r="13" customFormat="false" ht="27.75" hidden="false" customHeight="true" outlineLevel="0" collapsed="false">
      <c r="A13" s="256" t="s">
        <v>1121</v>
      </c>
      <c r="B13" s="256"/>
      <c r="C13" s="257" t="n">
        <f aca="false">0.089*1.07*0.95*1.07*0.93*1.05</f>
        <v>0.0945264645675</v>
      </c>
      <c r="D13" s="258" t="s">
        <v>1122</v>
      </c>
      <c r="E13" s="258"/>
      <c r="F13" s="258"/>
      <c r="G13" s="258"/>
    </row>
    <row r="15" customFormat="false" ht="15" hidden="false" customHeight="true" outlineLevel="0" collapsed="false">
      <c r="A15" s="5" t="s">
        <v>1123</v>
      </c>
      <c r="B15" s="5"/>
      <c r="C15" s="5"/>
      <c r="D15" s="5"/>
      <c r="E15" s="5"/>
      <c r="F15" s="5"/>
      <c r="G15" s="5"/>
    </row>
    <row r="16" customFormat="false" ht="21.75" hidden="false" customHeight="true" outlineLevel="0" collapsed="false">
      <c r="A16" s="6" t="s">
        <v>1124</v>
      </c>
      <c r="B16" s="259" t="n">
        <f aca="false">0.089*1.07*0.95*1.07*0.93*1.05</f>
        <v>0.0945264645675</v>
      </c>
      <c r="C16" s="260" t="s">
        <v>1125</v>
      </c>
      <c r="D16" s="260"/>
      <c r="E16" s="260"/>
      <c r="F16" s="260"/>
      <c r="G16" s="260"/>
    </row>
    <row r="17" customFormat="false" ht="21.75" hidden="false" customHeight="true" outlineLevel="0" collapsed="false">
      <c r="A17" s="261" t="s">
        <v>1126</v>
      </c>
      <c r="B17" s="262" t="n">
        <f aca="false">100</f>
        <v>100</v>
      </c>
      <c r="C17" s="260" t="s">
        <v>1127</v>
      </c>
      <c r="D17" s="260"/>
      <c r="E17" s="260"/>
      <c r="F17" s="260"/>
      <c r="G17" s="260"/>
    </row>
    <row r="18" customFormat="false" ht="21.75" hidden="false" customHeight="true" outlineLevel="0" collapsed="false">
      <c r="A18" s="6" t="s">
        <v>1128</v>
      </c>
      <c r="B18" s="263" t="n">
        <f aca="false">(0.089*1.07*0.95*1.07*0.93*1.05)*100</f>
        <v>9.45264645675</v>
      </c>
      <c r="C18" s="260" t="s">
        <v>1129</v>
      </c>
      <c r="D18" s="260"/>
      <c r="E18" s="260"/>
      <c r="F18" s="260"/>
      <c r="G18" s="260"/>
    </row>
    <row r="19" customFormat="false" ht="21.75" hidden="false" customHeight="true" outlineLevel="0" collapsed="false">
      <c r="A19" s="261" t="s">
        <v>1130</v>
      </c>
      <c r="B19" s="264" t="n">
        <f aca="false">(1-(0.089*1.07*0.95*1.07*0.93*1.05))*100</f>
        <v>90.54735354325</v>
      </c>
      <c r="C19" s="260" t="s">
        <v>1131</v>
      </c>
      <c r="D19" s="260"/>
      <c r="E19" s="260"/>
      <c r="F19" s="260"/>
      <c r="G19" s="260"/>
    </row>
    <row r="20" customFormat="false" ht="21.75" hidden="false" customHeight="true" outlineLevel="0" collapsed="false">
      <c r="A20" s="6" t="s">
        <v>1132</v>
      </c>
      <c r="B20" s="259" t="n">
        <f aca="false">BETAINV(0.025,(0.089*1.07*0.95*1.07*0.93*1.05)*100,(1-(0.089*1.07*0.95*1.07*0.93*1.05))*100)</f>
        <v>0.0456033884250994</v>
      </c>
      <c r="C20" s="260" t="s">
        <v>1133</v>
      </c>
      <c r="D20" s="260"/>
      <c r="E20" s="260"/>
      <c r="F20" s="260"/>
      <c r="G20" s="260"/>
    </row>
    <row r="21" customFormat="false" ht="21.75" hidden="false" customHeight="true" outlineLevel="0" collapsed="false">
      <c r="A21" s="261" t="s">
        <v>1134</v>
      </c>
      <c r="B21" s="265" t="n">
        <f aca="false">BETAINV(0.975,(0.089*1.07*0.95*1.07*0.93*1.05)*100,(1-(0.089*1.07*0.95*1.07*0.93*1.05))*100)</f>
        <v>0.158728852351887</v>
      </c>
      <c r="C21" s="260" t="s">
        <v>1135</v>
      </c>
      <c r="D21" s="260"/>
      <c r="E21" s="260"/>
      <c r="F21" s="260"/>
      <c r="G21" s="260"/>
    </row>
  </sheetData>
  <mergeCells count="13">
    <mergeCell ref="A1:G1"/>
    <mergeCell ref="A2:G2"/>
    <mergeCell ref="A3:G3"/>
    <mergeCell ref="A12:G12"/>
    <mergeCell ref="A13:B13"/>
    <mergeCell ref="D13:G13"/>
    <mergeCell ref="A15:G15"/>
    <mergeCell ref="C16:G16"/>
    <mergeCell ref="C17:G17"/>
    <mergeCell ref="C18:G18"/>
    <mergeCell ref="C19:G19"/>
    <mergeCell ref="C20:G20"/>
    <mergeCell ref="C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2026-07-05T11:33:47Z</dcterms:created>
  <dc:creator>openpyxl</dc:creator>
  <dc:description/>
  <dc:language>en-US</dc:language>
  <cp:lastModifiedBy/>
  <dcterms:modified xsi:type="dcterms:W3CDTF">2026-07-05T11:34:40Z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